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Dashboard" sheetId="1" r:id="rId5"/>
    <sheet state="visible" name="02_Forecast_24M" sheetId="2" r:id="rId6"/>
    <sheet state="visible" name="03_Assumptions" sheetId="3" r:id="rId7"/>
  </sheets>
  <definedNames/>
  <calcPr/>
</workbook>
</file>

<file path=xl/sharedStrings.xml><?xml version="1.0" encoding="utf-8"?>
<sst xmlns="http://schemas.openxmlformats.org/spreadsheetml/2006/main" count="185" uniqueCount="149">
  <si>
    <t xml:space="preserve">Line Item ID </t>
  </si>
  <si>
    <t xml:space="preserve">Line Item Name </t>
  </si>
  <si>
    <t>Unit / Measurement</t>
  </si>
  <si>
    <t xml:space="preserve">Month 1 </t>
  </si>
  <si>
    <t xml:space="preserve">Month 2 </t>
  </si>
  <si>
    <t xml:space="preserve">Month 3 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</si>
  <si>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</si>
  <si>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</si>
  <si>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</si>
  <si>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</si>
  <si>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</si>
  <si>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</si>
  <si>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</si>
  <si>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</si>
  <si>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</si>
  <si>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</si>
  <si>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</si>
  <si>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</si>
  <si>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</si>
  <si>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</si>
  <si>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</si>
  <si>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</si>
  <si>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</si>
  <si>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</si>
  <si>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</si>
  <si>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</si>
  <si>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</si>
  <si>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 xml:space="preserve">1. CUSTOMER DYNAMICS </t>
  </si>
  <si>
    <t>CUST-01</t>
  </si>
  <si>
    <t xml:space="preserve">Beginning Active Customers </t>
  </si>
  <si>
    <t xml:space="preserve">Users </t>
  </si>
  <si>
    <t>CUST-02</t>
  </si>
  <si>
    <t xml:space="preserve">New Customers Acquired </t>
  </si>
  <si>
    <t>Line Item</t>
  </si>
  <si>
    <t>Unit</t>
  </si>
  <si>
    <t xml:space="preserve">Bear Case </t>
  </si>
  <si>
    <t xml:space="preserve">Base Case </t>
  </si>
  <si>
    <t xml:space="preserve">Bull Case </t>
  </si>
  <si>
    <t>Active Model Input</t>
  </si>
  <si>
    <t>1. CUSTOMER &amp; VOLUME DRIVERS</t>
  </si>
  <si>
    <t xml:space="preserve">Starting user count </t>
  </si>
  <si>
    <t xml:space="preserve">Monthly new visitor volume </t>
  </si>
  <si>
    <t xml:space="preserve">Visitors </t>
  </si>
  <si>
    <t>Lead-to-customer conversion rate</t>
  </si>
  <si>
    <t>%</t>
  </si>
  <si>
    <t>CUST-03</t>
  </si>
  <si>
    <t xml:space="preserve">Churned Customers </t>
  </si>
  <si>
    <t>Monthly retention rates</t>
  </si>
  <si>
    <t xml:space="preserve">2. MONETIZATION &amp; PRICING </t>
  </si>
  <si>
    <t xml:space="preserve">Average order value (AOV) </t>
  </si>
  <si>
    <t xml:space="preserve">$ / user </t>
  </si>
  <si>
    <t>Expansion rates</t>
  </si>
  <si>
    <t xml:space="preserve">% of MRR </t>
  </si>
  <si>
    <t xml:space="preserve">Expected discount rates </t>
  </si>
  <si>
    <t xml:space="preserve">% of Gross </t>
  </si>
  <si>
    <t xml:space="preserve">3. DIRECT / VARIABLE COSTS </t>
  </si>
  <si>
    <t xml:space="preserve">Payment processor cut </t>
  </si>
  <si>
    <t xml:space="preserve">% of Revenue </t>
  </si>
  <si>
    <t xml:space="preserve">Customer Support cost per active user </t>
  </si>
  <si>
    <t xml:space="preserve">Cloud hosting cost per user </t>
  </si>
  <si>
    <t xml:space="preserve">4. FIXED OPERATING EXPENSES &amp; CAPITAL </t>
  </si>
  <si>
    <t xml:space="preserve">Starting Bank Balance </t>
  </si>
  <si>
    <t>$</t>
  </si>
  <si>
    <t>Core Team Payroll (Monthly)</t>
  </si>
  <si>
    <t>$ / month</t>
  </si>
  <si>
    <t>CUST-04</t>
  </si>
  <si>
    <t xml:space="preserve">Ending Active Customers </t>
  </si>
  <si>
    <t>Paid Marketing budget (Monthly)</t>
  </si>
  <si>
    <t xml:space="preserve">Software Subscriptions &amp; Tools </t>
  </si>
  <si>
    <t xml:space="preserve">General Admin, Legal &amp; Rent </t>
  </si>
  <si>
    <t xml:space="preserve">2. REVENUE BUILD </t>
  </si>
  <si>
    <t>REV-01</t>
  </si>
  <si>
    <t xml:space="preserve">Gross Subscription Revenue </t>
  </si>
  <si>
    <t>Scenario Selector</t>
  </si>
  <si>
    <t>Active Status Indicator</t>
  </si>
  <si>
    <t>Base</t>
  </si>
  <si>
    <t>CASH RUNWAY</t>
  </si>
  <si>
    <t>ZERO-CASH MONTH</t>
  </si>
  <si>
    <t>AVG MONTHLY BURN</t>
  </si>
  <si>
    <t>LTV : CAC RATIO</t>
  </si>
  <si>
    <t xml:space="preserve">Target Threshold : 18+ Months </t>
  </si>
  <si>
    <t>REV-02</t>
  </si>
  <si>
    <t xml:space="preserve">Expansion Revenue </t>
  </si>
  <si>
    <t xml:space="preserve">Point of External Capital Required </t>
  </si>
  <si>
    <t>Benchmark: &gt; 3.0x is healthy</t>
  </si>
  <si>
    <t>SCENARIO COMPARISON MATRIX</t>
  </si>
  <si>
    <t xml:space="preserve">BEAR CASE </t>
  </si>
  <si>
    <t xml:space="preserve">BASE CASE </t>
  </si>
  <si>
    <t xml:space="preserve">BULL CASE </t>
  </si>
  <si>
    <t>STRATEGIC TAKEAWAY</t>
  </si>
  <si>
    <t xml:space="preserve">Cash Runaway (Months) </t>
  </si>
  <si>
    <t xml:space="preserve">8 Months </t>
  </si>
  <si>
    <t>24+ Months</t>
  </si>
  <si>
    <t>Bear requires early bridge round by M6; Base/Bull Self-fund indefinitely</t>
  </si>
  <si>
    <t xml:space="preserve">Operating Breakeven Month </t>
  </si>
  <si>
    <t>N/A (&gt; 24M)</t>
  </si>
  <si>
    <t>Base/Bull generate immediate operational cash surplus; Bear operates at a persistent deficit</t>
  </si>
  <si>
    <t xml:space="preserve">Peak Cash Deficit / Min Cash </t>
  </si>
  <si>
    <t xml:space="preserve">Max downside capital risk capped at ~$84.7k under severe 92% Retention </t>
  </si>
  <si>
    <t xml:space="preserve">Month 24 Ending Cash Balance </t>
  </si>
  <si>
    <t>Bull scales treasury reserves above $13.9M; provides aggressive R&amp;D capacity</t>
  </si>
  <si>
    <t xml:space="preserve">Cumulative 24M Net Revenue </t>
  </si>
  <si>
    <t>22x times more revenue</t>
  </si>
  <si>
    <t>REV-03</t>
  </si>
  <si>
    <t xml:space="preserve">Discounts &amp; Promotions </t>
  </si>
  <si>
    <t>REV-04</t>
  </si>
  <si>
    <t xml:space="preserve">Net Revenue </t>
  </si>
  <si>
    <t>3. COST OF GOODS SOLD (COGS)</t>
  </si>
  <si>
    <t>COGS-01</t>
  </si>
  <si>
    <t xml:space="preserve">Payment Processing Fees </t>
  </si>
  <si>
    <t>COGS-02</t>
  </si>
  <si>
    <t xml:space="preserve">Cloud Hosting &amp; Infrastructure </t>
  </si>
  <si>
    <t>COGS-03</t>
  </si>
  <si>
    <t xml:space="preserve">Customer Support Costs </t>
  </si>
  <si>
    <t>COGS-04</t>
  </si>
  <si>
    <t xml:space="preserve">Total COGS </t>
  </si>
  <si>
    <t>COGS-05</t>
  </si>
  <si>
    <t xml:space="preserve">Gross Profit </t>
  </si>
  <si>
    <t>COGS-06</t>
  </si>
  <si>
    <t xml:space="preserve">Gross Margin </t>
  </si>
  <si>
    <t>4. OPERATING EXPENSES (OPEX)</t>
  </si>
  <si>
    <t>OPEX-01</t>
  </si>
  <si>
    <t xml:space="preserve">Core Team Payroll </t>
  </si>
  <si>
    <t>OPEX-02</t>
  </si>
  <si>
    <t xml:space="preserve">Paid Marketing Spend </t>
  </si>
  <si>
    <t>OPEX-03</t>
  </si>
  <si>
    <t>OPEX-04</t>
  </si>
  <si>
    <t>OPEX-05</t>
  </si>
  <si>
    <t xml:space="preserve">Total OPEX </t>
  </si>
  <si>
    <t>5. CASH FLOW &amp; RUNAWAY</t>
  </si>
  <si>
    <t>CASH-01</t>
  </si>
  <si>
    <t xml:space="preserve">Operating Cash Flow (Net Monthly Burn) </t>
  </si>
  <si>
    <t>CASH-02</t>
  </si>
  <si>
    <t xml:space="preserve">Beginning Cash Balance </t>
  </si>
  <si>
    <t>CASH-03</t>
  </si>
  <si>
    <t xml:space="preserve">Net Cash Flow for Month </t>
  </si>
  <si>
    <t>CASH-04</t>
  </si>
  <si>
    <t xml:space="preserve">Ending Cash Balance </t>
  </si>
  <si>
    <t>CASH-05</t>
  </si>
  <si>
    <t xml:space="preserve">Solvency Status Flag </t>
  </si>
  <si>
    <t xml:space="preserve">Status </t>
  </si>
  <si>
    <t>CASH-06</t>
  </si>
  <si>
    <t xml:space="preserve">Total Cash Outflows </t>
  </si>
  <si>
    <t xml:space="preserve">6. MODEL INTEGRITY &amp; AUDIT CHECKS </t>
  </si>
  <si>
    <t>CHECK-01</t>
  </si>
  <si>
    <t xml:space="preserve">Cash Rollover Integrity </t>
  </si>
  <si>
    <t xml:space="preserve">Check </t>
  </si>
  <si>
    <t>CHECK-02</t>
  </si>
  <si>
    <t xml:space="preserve">Customer Conversion Check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</si>
</sst>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$]#,##0.00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/>
    <font>
      <sz val="12.0"/>
      <color theme="1"/>
      <name val="Arial"/>
      <scheme val="minor"/>
    </font>
    <font>
      <i/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2" numFmtId="0" xfId="0" applyFill="1" applyFont="1"/>
    <xf borderId="0" fillId="0" fontId="3" numFmtId="0" xfId="0" applyAlignment="1" applyFont="1">
      <alignment readingOrder="0"/>
    </xf>
    <xf borderId="0" fillId="0" fontId="3" numFmtId="3" xfId="0" applyFont="1" applyNumberFormat="1"/>
    <xf borderId="0" fillId="0" fontId="3" numFmtId="0" xfId="0" applyFont="1"/>
    <xf borderId="0" fillId="4" fontId="1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0"/>
    </xf>
    <xf borderId="0" fillId="3" fontId="2" numFmtId="4" xfId="0" applyFill="1" applyFont="1" applyNumberFormat="1"/>
    <xf borderId="0" fillId="0" fontId="3" numFmtId="3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3" fontId="2" numFmtId="4" xfId="0" applyAlignment="1" applyFill="1" applyFont="1" applyNumberFormat="1">
      <alignment horizontal="center"/>
    </xf>
    <xf borderId="0" fillId="3" fontId="2" numFmtId="0" xfId="0" applyAlignment="1" applyFill="1" applyFont="1">
      <alignment horizontal="center"/>
    </xf>
    <xf borderId="0" fillId="0" fontId="3" numFmtId="165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3" numFmtId="165" xfId="0" applyFont="1" applyNumberFormat="1"/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7" numFmtId="0" xfId="0" applyAlignment="1" applyBorder="1" applyFont="1">
      <alignment horizontal="center"/>
    </xf>
    <xf borderId="5" fillId="0" fontId="6" numFmtId="0" xfId="0" applyBorder="1" applyFont="1"/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Fill="1" applyFont="1"/>
    <xf borderId="0" fillId="5" fontId="3" numFmtId="0" xfId="0" applyAlignment="1" applyFill="1" applyFont="1">
      <alignment readingOrder="0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left" readingOrder="0"/>
    </xf>
    <xf borderId="0" fillId="5" fontId="3" numFmtId="0" xfId="0" applyFill="1" applyFont="1"/>
    <xf borderId="0" fillId="0" fontId="3" numFmtId="0" xfId="0" applyAlignment="1" applyFont="1">
      <alignment horizontal="center" readingOrder="0"/>
    </xf>
    <xf borderId="0" fillId="5" fontId="3" numFmtId="165" xfId="0" applyAlignment="1" applyFill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6" fillId="0" fontId="4" numFmtId="165" xfId="0" applyBorder="1" applyFont="1" applyNumberFormat="1"/>
    <xf borderId="6" fillId="0" fontId="3" numFmtId="0" xfId="0" applyBorder="1" applyFont="1"/>
    <xf borderId="0" fillId="0" fontId="4" numFmtId="165" xfId="0" applyFont="1" applyNumberFormat="1"/>
    <xf borderId="0" fillId="0" fontId="3" numFmtId="10" xfId="0" applyFont="1" applyNumberFormat="1"/>
    <xf borderId="0" fillId="0" fontId="3" numFmtId="165" xfId="0" applyAlignment="1" applyFont="1" applyNumberFormat="1">
      <alignment horizontal="right" readingOrder="0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24-Month Cash Trajectory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'02_Forecast_24M'!$D$1:$AA$1</c:f>
            </c:strRef>
          </c:cat>
          <c:val>
            <c:numRef>
              <c:f>'02_Forecast_24M'!$A$33:$AA$33</c:f>
              <c:numCache/>
            </c:numRef>
          </c:val>
          <c:smooth val="0"/>
        </c:ser>
        <c:axId val="1130445373"/>
        <c:axId val="1876447819"/>
      </c:lineChart>
      <c:catAx>
        <c:axId val="1130445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447819"/>
      </c:catAx>
      <c:valAx>
        <c:axId val="187644781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Balance ($)</a:t>
                </a:r>
              </a:p>
            </c:rich>
          </c:tx>
          <c:overlay val="0"/>
        </c:title>
        <c:numFmt formatCode="$#,##0_);($#,##0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445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Total Cash Outflows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Net Revenue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'02_Forecast_24M'!$D$1:$AA$1</c:f>
            </c:strRef>
          </c:cat>
          <c:val>
            <c:numRef>
              <c:f>'02_Forecast_24M'!$D$12:$AA$12</c:f>
              <c:numCache/>
            </c:numRef>
          </c:val>
        </c:ser>
        <c:axId val="926800498"/>
        <c:axId val="104206877"/>
      </c:barChart>
      <c:lineChart>
        <c:varyColors val="0"/>
        <c:ser>
          <c:idx val="1"/>
          <c:order val="1"/>
          <c:tx>
            <c:v>Total Cash Outflow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'02_Forecast_24M'!$D$1:$AA$1</c:f>
            </c:strRef>
          </c:cat>
          <c:val>
            <c:numRef>
              <c:f>'02_Forecast_24M'!$D$35:$AA$35</c:f>
              <c:numCache/>
            </c:numRef>
          </c:val>
          <c:smooth val="0"/>
        </c:ser>
        <c:axId val="926800498"/>
        <c:axId val="104206877"/>
      </c:lineChart>
      <c:catAx>
        <c:axId val="926800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06877"/>
      </c:catAx>
      <c:valAx>
        <c:axId val="1042068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&amp; Expenses ($)</a:t>
                </a:r>
              </a:p>
            </c:rich>
          </c:tx>
          <c:overlay val="0"/>
        </c:title>
        <c:numFmt formatCode="$#,##0_);($#,##0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80049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476875" cy="3381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800100</xdr:colOff>
      <xdr:row>6</xdr:row>
      <xdr:rowOff>171450</xdr:rowOff>
    </xdr:from>
    <xdr:ext cx="5734050" cy="3381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38"/>
    <col customWidth="1" min="2" max="2" width="19.0"/>
    <col customWidth="1" min="3" max="3" width="12.75"/>
    <col customWidth="1" min="4" max="4" width="17.75"/>
    <col customWidth="1" min="5" max="5" width="27.0"/>
    <col customWidth="1" min="6" max="6" width="13.5"/>
    <col customWidth="1" min="7" max="7" width="14.0"/>
    <col customWidth="1" min="8" max="8" width="12.88"/>
    <col customWidth="1" min="10" max="10" width="19.5"/>
    <col hidden="1" min="11" max="26" width="12.63"/>
  </cols>
  <sheetData>
    <row r="1">
      <c r="A1" s="19" t="s">
        <v>73</v>
      </c>
      <c r="B1" s="19" t="s">
        <v>74</v>
      </c>
      <c r="I1" s="20" t="str">
        <f>IF('02_Forecast_24M'!$C$40="PASS", "🟢 MODEL INTEGRITY: OK", "🔴 AUDIT FAILURE: RECONCILE ENGINE")</f>
        <v>🟢 MODEL INTEGRITY: OK</v>
      </c>
    </row>
    <row r="2">
      <c r="A2" s="21" t="s">
        <v>75</v>
      </c>
      <c r="B2" s="22" t="str">
        <f>IFS(A2="Base", "🔵 Management Plan", A2="Bull", "🟢 Growth Sprint", A2="Bear", "🔴 Stress test", TRUE, "-")</f>
        <v>🔵 Management Plan</v>
      </c>
      <c r="E2" s="13"/>
    </row>
    <row r="4">
      <c r="B4" s="23" t="s">
        <v>76</v>
      </c>
      <c r="C4" s="24"/>
      <c r="D4" s="23" t="s">
        <v>77</v>
      </c>
      <c r="E4" s="24"/>
      <c r="F4" s="23" t="s">
        <v>78</v>
      </c>
      <c r="G4" s="24"/>
      <c r="H4" s="23" t="s">
        <v>79</v>
      </c>
      <c r="I4" s="24"/>
    </row>
    <row r="5">
      <c r="B5" s="25" t="str">
        <f>IF(COUNTIF('02_Forecast_24M'!D34:AA34, "=SOLVENT")=24, "24+ Months", COUNTIF('02_Forecast_24M'!D34:AA34, "SOLVENT") &amp; " Months")</f>
        <v>24+ Months</v>
      </c>
      <c r="C5" s="26"/>
      <c r="D5" s="25" t="str">
        <f>IF(COUNTIF('02_Forecast_24M'!D33:AA33, "&lt;0")=0, "Fully Funded", "Month " &amp; COUNTIF('02_Forecast_24M'!D33:AA33, "&gt;=0")+1)</f>
        <v>Fully Funded</v>
      </c>
      <c r="E5" s="26"/>
      <c r="F5" s="25" t="str">
        <f>IF(COUNTIF('02_Forecast_24M'!D30:AA30, "&lt;0")=0, "$0 (Profitable)", TEXT(AVERAGEIF('02_Forecast_24M'!D30:AA30, "&lt;0"), "$#, ##0"))</f>
        <v>$0 (Profitable)</v>
      </c>
      <c r="G5" s="26"/>
      <c r="H5" s="25" t="str">
        <f>ROUND((('03_Assumptions'!F10*'02_Forecast_24M'!D20)/(1-'03_Assumptions'!F7))/(('03_Assumptions'!F22/'02_Forecast_24M'!D4)), 1) &amp; "x"</f>
        <v>47.4x</v>
      </c>
      <c r="I5" s="26"/>
    </row>
    <row r="6">
      <c r="B6" s="27" t="s">
        <v>80</v>
      </c>
      <c r="D6" s="27" t="s">
        <v>83</v>
      </c>
      <c r="H6" s="27" t="s">
        <v>84</v>
      </c>
    </row>
    <row r="28">
      <c r="A28" s="28"/>
    </row>
    <row r="29">
      <c r="A29" s="1" t="s">
        <v>85</v>
      </c>
      <c r="B29" s="1" t="s">
        <v>86</v>
      </c>
      <c r="C29" s="1" t="s">
        <v>87</v>
      </c>
      <c r="D29" s="1" t="s">
        <v>88</v>
      </c>
      <c r="E29" s="29" t="s">
        <v>89</v>
      </c>
      <c r="F29" s="30"/>
      <c r="G29" s="30"/>
      <c r="H29" s="30"/>
    </row>
    <row r="30">
      <c r="A30" s="31" t="s">
        <v>90</v>
      </c>
      <c r="B30" s="32" t="s">
        <v>91</v>
      </c>
      <c r="C30" s="32" t="s">
        <v>92</v>
      </c>
      <c r="D30" s="32" t="s">
        <v>92</v>
      </c>
      <c r="E30" s="33" t="s">
        <v>93</v>
      </c>
      <c r="F30" s="34"/>
      <c r="G30" s="34"/>
      <c r="H30" s="34"/>
    </row>
    <row r="31">
      <c r="A31" s="4" t="s">
        <v>94</v>
      </c>
      <c r="B31" s="35" t="s">
        <v>95</v>
      </c>
      <c r="C31" s="35" t="s">
        <v>3</v>
      </c>
      <c r="D31" s="35" t="s">
        <v>3</v>
      </c>
      <c r="E31" s="4" t="s">
        <v>96</v>
      </c>
    </row>
    <row r="32">
      <c r="A32" s="31" t="s">
        <v>97</v>
      </c>
      <c r="B32" s="36">
        <v>-84669.37280000004</v>
      </c>
      <c r="C32" s="36">
        <v>159665.625</v>
      </c>
      <c r="D32" s="36">
        <v>267957.876</v>
      </c>
      <c r="E32" s="33" t="s">
        <v>98</v>
      </c>
      <c r="F32" s="33"/>
      <c r="G32" s="33"/>
      <c r="H32" s="33"/>
    </row>
    <row r="33">
      <c r="A33" s="4" t="s">
        <v>99</v>
      </c>
      <c r="B33" s="37">
        <v>-84669.37280000004</v>
      </c>
      <c r="C33" s="37">
        <v>2278028.775</v>
      </c>
      <c r="D33" s="37">
        <v>1.3908931342400001E7</v>
      </c>
      <c r="E33" s="38" t="s">
        <v>100</v>
      </c>
    </row>
    <row r="34">
      <c r="A34" s="31" t="s">
        <v>101</v>
      </c>
      <c r="B34" s="36">
        <v>755025.5999999999</v>
      </c>
      <c r="C34" s="36">
        <v>3748550.0</v>
      </c>
      <c r="D34" s="36">
        <v>1.67165208E7</v>
      </c>
      <c r="E34" s="31" t="s">
        <v>102</v>
      </c>
      <c r="F34" s="31"/>
      <c r="G34" s="31"/>
      <c r="H34" s="31"/>
    </row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8">
    <mergeCell ref="B4:C4"/>
    <mergeCell ref="D4:E4"/>
    <mergeCell ref="F4:G4"/>
    <mergeCell ref="H4:I4"/>
    <mergeCell ref="B5:C5"/>
    <mergeCell ref="D5:E5"/>
    <mergeCell ref="F5:G5"/>
    <mergeCell ref="H5:I5"/>
  </mergeCells>
  <conditionalFormatting sqref="B30:B34">
    <cfRule type="expression" dxfId="0" priority="1">
      <formula>$A$2="Bear"</formula>
    </cfRule>
  </conditionalFormatting>
  <conditionalFormatting sqref="C30:C34">
    <cfRule type="expression" dxfId="1" priority="2">
      <formula>$A$2="Base"</formula>
    </cfRule>
  </conditionalFormatting>
  <conditionalFormatting sqref="D30:D34">
    <cfRule type="expression" dxfId="2" priority="3">
      <formula>$A$2="Bull"</formula>
    </cfRule>
  </conditionalFormatting>
  <dataValidations>
    <dataValidation type="list" allowBlank="1" showErrorMessage="1" sqref="A2">
      <formula1>"Base,Bull,Bear"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3.38"/>
    <col customWidth="1" min="2" max="2" width="31.5"/>
    <col customWidth="1" min="3" max="3" width="16.88"/>
    <col customWidth="1" min="4" max="27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28</v>
      </c>
      <c r="B3" s="4" t="s">
        <v>29</v>
      </c>
      <c r="C3" s="4" t="s">
        <v>30</v>
      </c>
      <c r="D3" s="5">
        <f>'03_Assumptions'!F4</f>
        <v>1000</v>
      </c>
      <c r="E3" s="5">
        <f t="shared" ref="E3:AA3" si="1">D6</f>
        <v>1250</v>
      </c>
      <c r="F3" s="5">
        <f t="shared" si="1"/>
        <v>1487</v>
      </c>
      <c r="G3" s="5">
        <f t="shared" si="1"/>
        <v>1713</v>
      </c>
      <c r="H3" s="5">
        <f t="shared" si="1"/>
        <v>1927</v>
      </c>
      <c r="I3" s="5">
        <f t="shared" si="1"/>
        <v>2131</v>
      </c>
      <c r="J3" s="5">
        <f t="shared" si="1"/>
        <v>2324</v>
      </c>
      <c r="K3" s="5">
        <f t="shared" si="1"/>
        <v>2508</v>
      </c>
      <c r="L3" s="5">
        <f t="shared" si="1"/>
        <v>2683</v>
      </c>
      <c r="M3" s="5">
        <f t="shared" si="1"/>
        <v>2849</v>
      </c>
      <c r="N3" s="5">
        <f t="shared" si="1"/>
        <v>3007</v>
      </c>
      <c r="O3" s="5">
        <f t="shared" si="1"/>
        <v>3157</v>
      </c>
      <c r="P3" s="5">
        <f t="shared" si="1"/>
        <v>3299</v>
      </c>
      <c r="Q3" s="5">
        <f t="shared" si="1"/>
        <v>3434</v>
      </c>
      <c r="R3" s="5">
        <f t="shared" si="1"/>
        <v>3562</v>
      </c>
      <c r="S3" s="5">
        <f t="shared" si="1"/>
        <v>3684</v>
      </c>
      <c r="T3" s="5">
        <f t="shared" si="1"/>
        <v>3800</v>
      </c>
      <c r="U3" s="5">
        <f t="shared" si="1"/>
        <v>3910</v>
      </c>
      <c r="V3" s="5">
        <f t="shared" si="1"/>
        <v>4014</v>
      </c>
      <c r="W3" s="5">
        <f t="shared" si="1"/>
        <v>4113</v>
      </c>
      <c r="X3" s="5">
        <f t="shared" si="1"/>
        <v>4207</v>
      </c>
      <c r="Y3" s="5">
        <f t="shared" si="1"/>
        <v>4297</v>
      </c>
      <c r="Z3" s="5">
        <f t="shared" si="1"/>
        <v>4382</v>
      </c>
      <c r="AA3" s="5">
        <f t="shared" si="1"/>
        <v>4463</v>
      </c>
    </row>
    <row r="4">
      <c r="A4" s="4" t="s">
        <v>31</v>
      </c>
      <c r="B4" s="4" t="s">
        <v>32</v>
      </c>
      <c r="C4" s="4" t="s">
        <v>30</v>
      </c>
      <c r="D4" s="6">
        <f>'03_Assumptions'!$F$5*'03_Assumptions'!$F$6</f>
        <v>300</v>
      </c>
      <c r="E4" s="6">
        <f>'03_Assumptions'!$F$5*'03_Assumptions'!$F$6</f>
        <v>300</v>
      </c>
      <c r="F4" s="6">
        <f>'03_Assumptions'!$F$5*'03_Assumptions'!$F$6</f>
        <v>300</v>
      </c>
      <c r="G4" s="6">
        <f>'03_Assumptions'!$F$5*'03_Assumptions'!$F$6</f>
        <v>300</v>
      </c>
      <c r="H4" s="6">
        <f>'03_Assumptions'!$F$5*'03_Assumptions'!$F$6</f>
        <v>300</v>
      </c>
      <c r="I4" s="6">
        <f>'03_Assumptions'!$F$5*'03_Assumptions'!$F$6</f>
        <v>300</v>
      </c>
      <c r="J4" s="6">
        <f>'03_Assumptions'!$F$5*'03_Assumptions'!$F$6</f>
        <v>300</v>
      </c>
      <c r="K4" s="6">
        <f>'03_Assumptions'!$F$5*'03_Assumptions'!$F$6</f>
        <v>300</v>
      </c>
      <c r="L4" s="6">
        <f>'03_Assumptions'!$F$5*'03_Assumptions'!$F$6</f>
        <v>300</v>
      </c>
      <c r="M4" s="6">
        <f>'03_Assumptions'!$F$5*'03_Assumptions'!$F$6</f>
        <v>300</v>
      </c>
      <c r="N4" s="6">
        <f>'03_Assumptions'!$F$5*'03_Assumptions'!$F$6</f>
        <v>300</v>
      </c>
      <c r="O4" s="6">
        <f>'03_Assumptions'!$F$5*'03_Assumptions'!$F$6</f>
        <v>300</v>
      </c>
      <c r="P4" s="6">
        <f>'03_Assumptions'!$F$5*'03_Assumptions'!$F$6</f>
        <v>300</v>
      </c>
      <c r="Q4" s="6">
        <f>'03_Assumptions'!$F$5*'03_Assumptions'!$F$6</f>
        <v>300</v>
      </c>
      <c r="R4" s="6">
        <f>'03_Assumptions'!$F$5*'03_Assumptions'!$F$6</f>
        <v>300</v>
      </c>
      <c r="S4" s="6">
        <f>'03_Assumptions'!$F$5*'03_Assumptions'!$F$6</f>
        <v>300</v>
      </c>
      <c r="T4" s="6">
        <f>'03_Assumptions'!$F$5*'03_Assumptions'!$F$6</f>
        <v>300</v>
      </c>
      <c r="U4" s="6">
        <f>'03_Assumptions'!$F$5*'03_Assumptions'!$F$6</f>
        <v>300</v>
      </c>
      <c r="V4" s="6">
        <f>'03_Assumptions'!$F$5*'03_Assumptions'!$F$6</f>
        <v>300</v>
      </c>
      <c r="W4" s="6">
        <f>'03_Assumptions'!$F$5*'03_Assumptions'!$F$6</f>
        <v>300</v>
      </c>
      <c r="X4" s="6">
        <f>'03_Assumptions'!$F$5*'03_Assumptions'!$F$6</f>
        <v>300</v>
      </c>
      <c r="Y4" s="6">
        <f>'03_Assumptions'!$F$5*'03_Assumptions'!$F$6</f>
        <v>300</v>
      </c>
      <c r="Z4" s="6">
        <f>'03_Assumptions'!$F$5*'03_Assumptions'!$F$6</f>
        <v>300</v>
      </c>
      <c r="AA4" s="6">
        <f>'03_Assumptions'!$F$5*'03_Assumptions'!$F$6</f>
        <v>300</v>
      </c>
    </row>
    <row r="5">
      <c r="A5" s="4" t="s">
        <v>45</v>
      </c>
      <c r="B5" s="4" t="s">
        <v>46</v>
      </c>
      <c r="C5" s="4" t="s">
        <v>30</v>
      </c>
      <c r="D5" s="6">
        <f>-ROUND(D3*(1-'03_Assumptions'!$F$7), 0)</f>
        <v>-50</v>
      </c>
      <c r="E5" s="6">
        <f>-ROUND(E3*(1-'03_Assumptions'!$F$7), 0)</f>
        <v>-63</v>
      </c>
      <c r="F5" s="6">
        <f>-ROUND(F3*(1-'03_Assumptions'!$F$7), 0)</f>
        <v>-74</v>
      </c>
      <c r="G5" s="6">
        <f>-ROUND(G3*(1-'03_Assumptions'!$F$7), 0)</f>
        <v>-86</v>
      </c>
      <c r="H5" s="6">
        <f>-ROUND(H3*(1-'03_Assumptions'!$F$7), 0)</f>
        <v>-96</v>
      </c>
      <c r="I5" s="6">
        <f>-ROUND(I3*(1-'03_Assumptions'!$F$7), 0)</f>
        <v>-107</v>
      </c>
      <c r="J5" s="6">
        <f>-ROUND(J3*(1-'03_Assumptions'!$F$7), 0)</f>
        <v>-116</v>
      </c>
      <c r="K5" s="6">
        <f>-ROUND(K3*(1-'03_Assumptions'!$F$7), 0)</f>
        <v>-125</v>
      </c>
      <c r="L5" s="6">
        <f>-ROUND(L3*(1-'03_Assumptions'!$F$7), 0)</f>
        <v>-134</v>
      </c>
      <c r="M5" s="6">
        <f>-ROUND(M3*(1-'03_Assumptions'!$F$7), 0)</f>
        <v>-142</v>
      </c>
      <c r="N5" s="6">
        <f>-ROUND(N3*(1-'03_Assumptions'!$F$7), 0)</f>
        <v>-150</v>
      </c>
      <c r="O5" s="6">
        <f>-ROUND(O3*(1-'03_Assumptions'!$F$7), 0)</f>
        <v>-158</v>
      </c>
      <c r="P5" s="6">
        <f>-ROUND(P3*(1-'03_Assumptions'!$F$7), 0)</f>
        <v>-165</v>
      </c>
      <c r="Q5" s="6">
        <f>-ROUND(Q3*(1-'03_Assumptions'!$F$7), 0)</f>
        <v>-172</v>
      </c>
      <c r="R5" s="6">
        <f>-ROUND(R3*(1-'03_Assumptions'!$F$7), 0)</f>
        <v>-178</v>
      </c>
      <c r="S5" s="6">
        <f>-ROUND(S3*(1-'03_Assumptions'!$F$7), 0)</f>
        <v>-184</v>
      </c>
      <c r="T5" s="6">
        <f>-ROUND(T3*(1-'03_Assumptions'!$F$7), 0)</f>
        <v>-190</v>
      </c>
      <c r="U5" s="6">
        <f>-ROUND(U3*(1-'03_Assumptions'!$F$7), 0)</f>
        <v>-196</v>
      </c>
      <c r="V5" s="6">
        <f>-ROUND(V3*(1-'03_Assumptions'!$F$7), 0)</f>
        <v>-201</v>
      </c>
      <c r="W5" s="6">
        <f>-ROUND(W3*(1-'03_Assumptions'!$F$7), 0)</f>
        <v>-206</v>
      </c>
      <c r="X5" s="6">
        <f>-ROUND(X3*(1-'03_Assumptions'!$F$7), 0)</f>
        <v>-210</v>
      </c>
      <c r="Y5" s="6">
        <f>-ROUND(Y3*(1-'03_Assumptions'!$F$7), 0)</f>
        <v>-215</v>
      </c>
      <c r="Z5" s="6">
        <f>-ROUND(Z3*(1-'03_Assumptions'!$F$7), 0)</f>
        <v>-219</v>
      </c>
      <c r="AA5" s="6">
        <f>-ROUND(AA3*(1-'03_Assumptions'!$F$7), 0)</f>
        <v>-223</v>
      </c>
    </row>
    <row r="6">
      <c r="A6" s="4" t="s">
        <v>65</v>
      </c>
      <c r="B6" s="4" t="s">
        <v>66</v>
      </c>
      <c r="C6" s="4" t="s">
        <v>30</v>
      </c>
      <c r="D6" s="5">
        <f t="shared" ref="D6:AA6" si="2">SUM(D3:D5)</f>
        <v>1250</v>
      </c>
      <c r="E6" s="5">
        <f t="shared" si="2"/>
        <v>1487</v>
      </c>
      <c r="F6" s="5">
        <f t="shared" si="2"/>
        <v>1713</v>
      </c>
      <c r="G6" s="5">
        <f t="shared" si="2"/>
        <v>1927</v>
      </c>
      <c r="H6" s="5">
        <f t="shared" si="2"/>
        <v>2131</v>
      </c>
      <c r="I6" s="5">
        <f t="shared" si="2"/>
        <v>2324</v>
      </c>
      <c r="J6" s="5">
        <f t="shared" si="2"/>
        <v>2508</v>
      </c>
      <c r="K6" s="5">
        <f t="shared" si="2"/>
        <v>2683</v>
      </c>
      <c r="L6" s="5">
        <f t="shared" si="2"/>
        <v>2849</v>
      </c>
      <c r="M6" s="5">
        <f t="shared" si="2"/>
        <v>3007</v>
      </c>
      <c r="N6" s="5">
        <f t="shared" si="2"/>
        <v>3157</v>
      </c>
      <c r="O6" s="5">
        <f t="shared" si="2"/>
        <v>3299</v>
      </c>
      <c r="P6" s="5">
        <f t="shared" si="2"/>
        <v>3434</v>
      </c>
      <c r="Q6" s="5">
        <f t="shared" si="2"/>
        <v>3562</v>
      </c>
      <c r="R6" s="5">
        <f t="shared" si="2"/>
        <v>3684</v>
      </c>
      <c r="S6" s="5">
        <f t="shared" si="2"/>
        <v>3800</v>
      </c>
      <c r="T6" s="5">
        <f t="shared" si="2"/>
        <v>3910</v>
      </c>
      <c r="U6" s="5">
        <f t="shared" si="2"/>
        <v>4014</v>
      </c>
      <c r="V6" s="5">
        <f t="shared" si="2"/>
        <v>4113</v>
      </c>
      <c r="W6" s="5">
        <f t="shared" si="2"/>
        <v>4207</v>
      </c>
      <c r="X6" s="5">
        <f t="shared" si="2"/>
        <v>4297</v>
      </c>
      <c r="Y6" s="5">
        <f t="shared" si="2"/>
        <v>4382</v>
      </c>
      <c r="Z6" s="5">
        <f t="shared" si="2"/>
        <v>4463</v>
      </c>
      <c r="AA6" s="5">
        <f t="shared" si="2"/>
        <v>4540</v>
      </c>
    </row>
    <row r="8">
      <c r="A8" s="2" t="s">
        <v>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71</v>
      </c>
      <c r="B9" s="4" t="s">
        <v>72</v>
      </c>
      <c r="C9" s="4" t="s">
        <v>62</v>
      </c>
      <c r="D9" s="18">
        <f>(D3+D6)/2*'03_Assumptions'!$F$10</f>
        <v>56250</v>
      </c>
      <c r="E9" s="18">
        <f>(E3+E6)/2*'03_Assumptions'!$F$10</f>
        <v>68425</v>
      </c>
      <c r="F9" s="18">
        <f>(F3+F6)/2*'03_Assumptions'!$F$10</f>
        <v>80000</v>
      </c>
      <c r="G9" s="18">
        <f>(G3+G6)/2*'03_Assumptions'!$F$10</f>
        <v>91000</v>
      </c>
      <c r="H9" s="18">
        <f>(H3+H6)/2*'03_Assumptions'!$F$10</f>
        <v>101450</v>
      </c>
      <c r="I9" s="18">
        <f>(I3+I6)/2*'03_Assumptions'!$F$10</f>
        <v>111375</v>
      </c>
      <c r="J9" s="18">
        <f>(J3+J6)/2*'03_Assumptions'!$F$10</f>
        <v>120800</v>
      </c>
      <c r="K9" s="18">
        <f>(K3+K6)/2*'03_Assumptions'!$F$10</f>
        <v>129775</v>
      </c>
      <c r="L9" s="18">
        <f>(L3+L6)/2*'03_Assumptions'!$F$10</f>
        <v>138300</v>
      </c>
      <c r="M9" s="18">
        <f>(M3+M6)/2*'03_Assumptions'!$F$10</f>
        <v>146400</v>
      </c>
      <c r="N9" s="18">
        <f>(N3+N6)/2*'03_Assumptions'!$F$10</f>
        <v>154100</v>
      </c>
      <c r="O9" s="18">
        <f>(O3+O6)/2*'03_Assumptions'!$F$10</f>
        <v>161400</v>
      </c>
      <c r="P9" s="18">
        <f>(P3+P6)/2*'03_Assumptions'!$F$10</f>
        <v>168325</v>
      </c>
      <c r="Q9" s="18">
        <f>(Q3+Q6)/2*'03_Assumptions'!$F$10</f>
        <v>174900</v>
      </c>
      <c r="R9" s="18">
        <f>(R3+R6)/2*'03_Assumptions'!$F$10</f>
        <v>181150</v>
      </c>
      <c r="S9" s="18">
        <f>(S3+S6)/2*'03_Assumptions'!$F$10</f>
        <v>187100</v>
      </c>
      <c r="T9" s="18">
        <f>(T3+T6)/2*'03_Assumptions'!$F$10</f>
        <v>192750</v>
      </c>
      <c r="U9" s="18">
        <f>(U3+U6)/2*'03_Assumptions'!$F$10</f>
        <v>198100</v>
      </c>
      <c r="V9" s="18">
        <f>(V3+V6)/2*'03_Assumptions'!$F$10</f>
        <v>203175</v>
      </c>
      <c r="W9" s="18">
        <f>(W3+W6)/2*'03_Assumptions'!$F$10</f>
        <v>208000</v>
      </c>
      <c r="X9" s="18">
        <f>(X3+X6)/2*'03_Assumptions'!$F$10</f>
        <v>212600</v>
      </c>
      <c r="Y9" s="18">
        <f>(Y3+Y6)/2*'03_Assumptions'!$F$10</f>
        <v>216975</v>
      </c>
      <c r="Z9" s="18">
        <f>(Z3+Z6)/2*'03_Assumptions'!$F$10</f>
        <v>221125</v>
      </c>
      <c r="AA9" s="18">
        <f>(AA3+AA6)/2*'03_Assumptions'!$F$10</f>
        <v>225075</v>
      </c>
    </row>
    <row r="10">
      <c r="A10" s="4" t="s">
        <v>81</v>
      </c>
      <c r="B10" s="4" t="s">
        <v>82</v>
      </c>
      <c r="C10" s="4" t="s">
        <v>62</v>
      </c>
      <c r="D10" s="18">
        <f>D9*'03_Assumptions'!$F$11</f>
        <v>2812.5</v>
      </c>
      <c r="E10" s="18">
        <f>E9*'03_Assumptions'!$F$11</f>
        <v>3421.25</v>
      </c>
      <c r="F10" s="18">
        <f>F9*'03_Assumptions'!$F$11</f>
        <v>4000</v>
      </c>
      <c r="G10" s="18">
        <f>G9*'03_Assumptions'!$F$11</f>
        <v>4550</v>
      </c>
      <c r="H10" s="18">
        <f>H9*'03_Assumptions'!$F$11</f>
        <v>5072.5</v>
      </c>
      <c r="I10" s="18">
        <f>I9*'03_Assumptions'!$F$11</f>
        <v>5568.75</v>
      </c>
      <c r="J10" s="18">
        <f>J9*'03_Assumptions'!$F$11</f>
        <v>6040</v>
      </c>
      <c r="K10" s="18">
        <f>K9*'03_Assumptions'!$F$11</f>
        <v>6488.75</v>
      </c>
      <c r="L10" s="18">
        <f>L9*'03_Assumptions'!$F$11</f>
        <v>6915</v>
      </c>
      <c r="M10" s="18">
        <f>M9*'03_Assumptions'!$F$11</f>
        <v>7320</v>
      </c>
      <c r="N10" s="18">
        <f>N9*'03_Assumptions'!$F$11</f>
        <v>7705</v>
      </c>
      <c r="O10" s="18">
        <f>O9*'03_Assumptions'!$F$11</f>
        <v>8070</v>
      </c>
      <c r="P10" s="18">
        <f>P9*'03_Assumptions'!$F$11</f>
        <v>8416.25</v>
      </c>
      <c r="Q10" s="18">
        <f>Q9*'03_Assumptions'!$F$11</f>
        <v>8745</v>
      </c>
      <c r="R10" s="18">
        <f>R9*'03_Assumptions'!$F$11</f>
        <v>9057.5</v>
      </c>
      <c r="S10" s="18">
        <f>S9*'03_Assumptions'!$F$11</f>
        <v>9355</v>
      </c>
      <c r="T10" s="18">
        <f>T9*'03_Assumptions'!$F$11</f>
        <v>9637.5</v>
      </c>
      <c r="U10" s="18">
        <f>U9*'03_Assumptions'!$F$11</f>
        <v>9905</v>
      </c>
      <c r="V10" s="18">
        <f>V9*'03_Assumptions'!$F$11</f>
        <v>10158.75</v>
      </c>
      <c r="W10" s="18">
        <f>W9*'03_Assumptions'!$F$11</f>
        <v>10400</v>
      </c>
      <c r="X10" s="18">
        <f>X9*'03_Assumptions'!$F$11</f>
        <v>10630</v>
      </c>
      <c r="Y10" s="18">
        <f>Y9*'03_Assumptions'!$F$11</f>
        <v>10848.75</v>
      </c>
      <c r="Z10" s="18">
        <f>Z9*'03_Assumptions'!$F$11</f>
        <v>11056.25</v>
      </c>
      <c r="AA10" s="18">
        <f>AA9*'03_Assumptions'!$F$11</f>
        <v>11253.75</v>
      </c>
    </row>
    <row r="11">
      <c r="A11" s="4" t="s">
        <v>103</v>
      </c>
      <c r="B11" s="4" t="s">
        <v>104</v>
      </c>
      <c r="C11" s="4" t="s">
        <v>62</v>
      </c>
      <c r="D11" s="18">
        <f>-D9*'03_Assumptions'!$F$12</f>
        <v>-2812.5</v>
      </c>
      <c r="E11" s="18">
        <f>-E9*'03_Assumptions'!$F$12</f>
        <v>-3421.25</v>
      </c>
      <c r="F11" s="18">
        <f>-F9*'03_Assumptions'!$F$12</f>
        <v>-4000</v>
      </c>
      <c r="G11" s="18">
        <f>-G9*'03_Assumptions'!$F$12</f>
        <v>-4550</v>
      </c>
      <c r="H11" s="18">
        <f>-H9*'03_Assumptions'!$F$12</f>
        <v>-5072.5</v>
      </c>
      <c r="I11" s="18">
        <f>-I9*'03_Assumptions'!$F$12</f>
        <v>-5568.75</v>
      </c>
      <c r="J11" s="18">
        <f>-J9*'03_Assumptions'!$F$12</f>
        <v>-6040</v>
      </c>
      <c r="K11" s="18">
        <f>-K9*'03_Assumptions'!$F$12</f>
        <v>-6488.75</v>
      </c>
      <c r="L11" s="18">
        <f>-L9*'03_Assumptions'!$F$12</f>
        <v>-6915</v>
      </c>
      <c r="M11" s="18">
        <f>-M9*'03_Assumptions'!$F$12</f>
        <v>-7320</v>
      </c>
      <c r="N11" s="18">
        <f>-N9*'03_Assumptions'!$F$12</f>
        <v>-7705</v>
      </c>
      <c r="O11" s="18">
        <f>-O9*'03_Assumptions'!$F$12</f>
        <v>-8070</v>
      </c>
      <c r="P11" s="18">
        <f>-P9*'03_Assumptions'!$F$12</f>
        <v>-8416.25</v>
      </c>
      <c r="Q11" s="18">
        <f>-Q9*'03_Assumptions'!$F$12</f>
        <v>-8745</v>
      </c>
      <c r="R11" s="18">
        <f>-R9*'03_Assumptions'!$F$12</f>
        <v>-9057.5</v>
      </c>
      <c r="S11" s="18">
        <f>-S9*'03_Assumptions'!$F$12</f>
        <v>-9355</v>
      </c>
      <c r="T11" s="18">
        <f>-T9*'03_Assumptions'!$F$12</f>
        <v>-9637.5</v>
      </c>
      <c r="U11" s="18">
        <f>-U9*'03_Assumptions'!$F$12</f>
        <v>-9905</v>
      </c>
      <c r="V11" s="18">
        <f>-V9*'03_Assumptions'!$F$12</f>
        <v>-10158.75</v>
      </c>
      <c r="W11" s="18">
        <f>-W9*'03_Assumptions'!$F$12</f>
        <v>-10400</v>
      </c>
      <c r="X11" s="18">
        <f>-X9*'03_Assumptions'!$F$12</f>
        <v>-10630</v>
      </c>
      <c r="Y11" s="18">
        <f>-Y9*'03_Assumptions'!$F$12</f>
        <v>-10848.75</v>
      </c>
      <c r="Z11" s="18">
        <f>-Z9*'03_Assumptions'!$F$12</f>
        <v>-11056.25</v>
      </c>
      <c r="AA11" s="18">
        <f>-AA9*'03_Assumptions'!$F$12</f>
        <v>-11253.75</v>
      </c>
    </row>
    <row r="12">
      <c r="A12" s="4" t="s">
        <v>105</v>
      </c>
      <c r="B12" s="4" t="s">
        <v>106</v>
      </c>
      <c r="C12" s="4" t="s">
        <v>62</v>
      </c>
      <c r="D12" s="39">
        <f t="shared" ref="D12:AA12" si="3">SUM(D9:D11)</f>
        <v>56250</v>
      </c>
      <c r="E12" s="39">
        <f t="shared" si="3"/>
        <v>68425</v>
      </c>
      <c r="F12" s="39">
        <f t="shared" si="3"/>
        <v>80000</v>
      </c>
      <c r="G12" s="39">
        <f t="shared" si="3"/>
        <v>91000</v>
      </c>
      <c r="H12" s="39">
        <f t="shared" si="3"/>
        <v>101450</v>
      </c>
      <c r="I12" s="39">
        <f t="shared" si="3"/>
        <v>111375</v>
      </c>
      <c r="J12" s="39">
        <f t="shared" si="3"/>
        <v>120800</v>
      </c>
      <c r="K12" s="39">
        <f t="shared" si="3"/>
        <v>129775</v>
      </c>
      <c r="L12" s="39">
        <f t="shared" si="3"/>
        <v>138300</v>
      </c>
      <c r="M12" s="39">
        <f t="shared" si="3"/>
        <v>146400</v>
      </c>
      <c r="N12" s="39">
        <f t="shared" si="3"/>
        <v>154100</v>
      </c>
      <c r="O12" s="39">
        <f t="shared" si="3"/>
        <v>161400</v>
      </c>
      <c r="P12" s="39">
        <f t="shared" si="3"/>
        <v>168325</v>
      </c>
      <c r="Q12" s="39">
        <f t="shared" si="3"/>
        <v>174900</v>
      </c>
      <c r="R12" s="39">
        <f t="shared" si="3"/>
        <v>181150</v>
      </c>
      <c r="S12" s="39">
        <f t="shared" si="3"/>
        <v>187100</v>
      </c>
      <c r="T12" s="39">
        <f t="shared" si="3"/>
        <v>192750</v>
      </c>
      <c r="U12" s="39">
        <f t="shared" si="3"/>
        <v>198100</v>
      </c>
      <c r="V12" s="39">
        <f t="shared" si="3"/>
        <v>203175</v>
      </c>
      <c r="W12" s="39">
        <f t="shared" si="3"/>
        <v>208000</v>
      </c>
      <c r="X12" s="39">
        <f t="shared" si="3"/>
        <v>212600</v>
      </c>
      <c r="Y12" s="39">
        <f t="shared" si="3"/>
        <v>216975</v>
      </c>
      <c r="Z12" s="39">
        <f t="shared" si="3"/>
        <v>221125</v>
      </c>
      <c r="AA12" s="39">
        <f t="shared" si="3"/>
        <v>225075</v>
      </c>
    </row>
    <row r="13"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2" t="s">
        <v>107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108</v>
      </c>
      <c r="B15" s="4" t="s">
        <v>109</v>
      </c>
      <c r="C15" s="4" t="s">
        <v>62</v>
      </c>
      <c r="D15" s="18">
        <f>D12*'03_Assumptions'!$F$15</f>
        <v>1659.375</v>
      </c>
      <c r="E15" s="18">
        <f>E12*'03_Assumptions'!$F$15</f>
        <v>2018.5375</v>
      </c>
      <c r="F15" s="18">
        <f>F12*'03_Assumptions'!$F$15</f>
        <v>2360</v>
      </c>
      <c r="G15" s="18">
        <f>G12*'03_Assumptions'!$F$15</f>
        <v>2684.5</v>
      </c>
      <c r="H15" s="18">
        <f>H12*'03_Assumptions'!$F$15</f>
        <v>2992.775</v>
      </c>
      <c r="I15" s="18">
        <f>I12*'03_Assumptions'!$F$15</f>
        <v>3285.5625</v>
      </c>
      <c r="J15" s="18">
        <f>J12*'03_Assumptions'!$F$15</f>
        <v>3563.6</v>
      </c>
      <c r="K15" s="18">
        <f>K12*'03_Assumptions'!$F$15</f>
        <v>3828.3625</v>
      </c>
      <c r="L15" s="18">
        <f>L12*'03_Assumptions'!$F$15</f>
        <v>4079.85</v>
      </c>
      <c r="M15" s="18">
        <f>M12*'03_Assumptions'!$F$15</f>
        <v>4318.8</v>
      </c>
      <c r="N15" s="18">
        <f>N12*'03_Assumptions'!$F$15</f>
        <v>4545.95</v>
      </c>
      <c r="O15" s="18">
        <f>O12*'03_Assumptions'!$F$15</f>
        <v>4761.3</v>
      </c>
      <c r="P15" s="18">
        <f>P12*'03_Assumptions'!$F$15</f>
        <v>4965.5875</v>
      </c>
      <c r="Q15" s="18">
        <f>Q12*'03_Assumptions'!$F$15</f>
        <v>5159.55</v>
      </c>
      <c r="R15" s="18">
        <f>R12*'03_Assumptions'!$F$15</f>
        <v>5343.925</v>
      </c>
      <c r="S15" s="18">
        <f>S12*'03_Assumptions'!$F$15</f>
        <v>5519.45</v>
      </c>
      <c r="T15" s="18">
        <f>T12*'03_Assumptions'!$F$15</f>
        <v>5686.125</v>
      </c>
      <c r="U15" s="18">
        <f>U12*'03_Assumptions'!$F$15</f>
        <v>5843.95</v>
      </c>
      <c r="V15" s="18">
        <f>V12*'03_Assumptions'!$F$15</f>
        <v>5993.6625</v>
      </c>
      <c r="W15" s="18">
        <f>W12*'03_Assumptions'!$F$15</f>
        <v>6136</v>
      </c>
      <c r="X15" s="18">
        <f>X12*'03_Assumptions'!$F$15</f>
        <v>6271.7</v>
      </c>
      <c r="Y15" s="18">
        <f>Y12*'03_Assumptions'!$F$15</f>
        <v>6400.7625</v>
      </c>
      <c r="Z15" s="18">
        <f>Z12*'03_Assumptions'!$F$15</f>
        <v>6523.1875</v>
      </c>
      <c r="AA15" s="18">
        <f>AA12*'03_Assumptions'!$F$15</f>
        <v>6639.7125</v>
      </c>
    </row>
    <row r="16">
      <c r="A16" s="4" t="s">
        <v>110</v>
      </c>
      <c r="B16" s="4" t="s">
        <v>111</v>
      </c>
      <c r="C16" s="4" t="s">
        <v>62</v>
      </c>
      <c r="D16" s="18">
        <f>((D3+D6)/2)*'03_Assumptions'!$F$17</f>
        <v>3375</v>
      </c>
      <c r="E16" s="18">
        <f>((E3+E6)/2)*'03_Assumptions'!$F$17</f>
        <v>4105.5</v>
      </c>
      <c r="F16" s="18">
        <f>((F3+F6)/2)*'03_Assumptions'!$F$17</f>
        <v>4800</v>
      </c>
      <c r="G16" s="18">
        <f>((G3+G6)/2)*'03_Assumptions'!$F$17</f>
        <v>5460</v>
      </c>
      <c r="H16" s="18">
        <f>((H3+H6)/2)*'03_Assumptions'!$F$17</f>
        <v>6087</v>
      </c>
      <c r="I16" s="18">
        <f>((I3+I6)/2)*'03_Assumptions'!$F$17</f>
        <v>6682.5</v>
      </c>
      <c r="J16" s="18">
        <f>((J3+J6)/2)*'03_Assumptions'!$F$17</f>
        <v>7248</v>
      </c>
      <c r="K16" s="18">
        <f>((K3+K6)/2)*'03_Assumptions'!$F$17</f>
        <v>7786.5</v>
      </c>
      <c r="L16" s="18">
        <f>((L3+L6)/2)*'03_Assumptions'!$F$17</f>
        <v>8298</v>
      </c>
      <c r="M16" s="18">
        <f>((M3+M6)/2)*'03_Assumptions'!$F$17</f>
        <v>8784</v>
      </c>
      <c r="N16" s="18">
        <f>((N3+N6)/2)*'03_Assumptions'!$F$17</f>
        <v>9246</v>
      </c>
      <c r="O16" s="18">
        <f>((O3+O6)/2)*'03_Assumptions'!$F$17</f>
        <v>9684</v>
      </c>
      <c r="P16" s="18">
        <f>((P3+P6)/2)*'03_Assumptions'!$F$17</f>
        <v>10099.5</v>
      </c>
      <c r="Q16" s="18">
        <f>((Q3+Q6)/2)*'03_Assumptions'!$F$17</f>
        <v>10494</v>
      </c>
      <c r="R16" s="18">
        <f>((R3+R6)/2)*'03_Assumptions'!$F$17</f>
        <v>10869</v>
      </c>
      <c r="S16" s="18">
        <f>((S3+S6)/2)*'03_Assumptions'!$F$17</f>
        <v>11226</v>
      </c>
      <c r="T16" s="18">
        <f>((T3+T6)/2)*'03_Assumptions'!$F$17</f>
        <v>11565</v>
      </c>
      <c r="U16" s="18">
        <f>((U3+U6)/2)*'03_Assumptions'!$F$17</f>
        <v>11886</v>
      </c>
      <c r="V16" s="18">
        <f>((V3+V6)/2)*'03_Assumptions'!$F$17</f>
        <v>12190.5</v>
      </c>
      <c r="W16" s="18">
        <f>((W3+W6)/2)*'03_Assumptions'!$F$17</f>
        <v>12480</v>
      </c>
      <c r="X16" s="18">
        <f>((X3+X6)/2)*'03_Assumptions'!$F$17</f>
        <v>12756</v>
      </c>
      <c r="Y16" s="18">
        <f>((Y3+Y6)/2)*'03_Assumptions'!$F$17</f>
        <v>13018.5</v>
      </c>
      <c r="Z16" s="18">
        <f>((Z3+Z6)/2)*'03_Assumptions'!$F$17</f>
        <v>13267.5</v>
      </c>
      <c r="AA16" s="18">
        <f>((AA3+AA6)/2)*'03_Assumptions'!$F$17</f>
        <v>13504.5</v>
      </c>
    </row>
    <row r="17">
      <c r="A17" s="4" t="s">
        <v>112</v>
      </c>
      <c r="B17" s="4" t="s">
        <v>113</v>
      </c>
      <c r="C17" s="4" t="s">
        <v>62</v>
      </c>
      <c r="D17" s="18">
        <f>(D6+D3)/2*'03_Assumptions'!$F$16</f>
        <v>6750</v>
      </c>
      <c r="E17" s="18">
        <f>(E6+E3)/2*'03_Assumptions'!$F$16</f>
        <v>8211</v>
      </c>
      <c r="F17" s="18">
        <f>(F6+F3)/2*'03_Assumptions'!$F$16</f>
        <v>9600</v>
      </c>
      <c r="G17" s="18">
        <f>(G6+G3)/2*'03_Assumptions'!$F$16</f>
        <v>10920</v>
      </c>
      <c r="H17" s="18">
        <f>(H6+H3)/2*'03_Assumptions'!$F$16</f>
        <v>12174</v>
      </c>
      <c r="I17" s="18">
        <f>(I6+I3)/2*'03_Assumptions'!$F$16</f>
        <v>13365</v>
      </c>
      <c r="J17" s="18">
        <f>(J6+J3)/2*'03_Assumptions'!$F$16</f>
        <v>14496</v>
      </c>
      <c r="K17" s="18">
        <f>(K6+K3)/2*'03_Assumptions'!$F$16</f>
        <v>15573</v>
      </c>
      <c r="L17" s="18">
        <f>(L6+L3)/2*'03_Assumptions'!$F$16</f>
        <v>16596</v>
      </c>
      <c r="M17" s="18">
        <f>(M6+M3)/2*'03_Assumptions'!$F$16</f>
        <v>17568</v>
      </c>
      <c r="N17" s="18">
        <f>(N6+N3)/2*'03_Assumptions'!$F$16</f>
        <v>18492</v>
      </c>
      <c r="O17" s="18">
        <f>(O6+O3)/2*'03_Assumptions'!$F$16</f>
        <v>19368</v>
      </c>
      <c r="P17" s="18">
        <f>(P6+P3)/2*'03_Assumptions'!$F$16</f>
        <v>20199</v>
      </c>
      <c r="Q17" s="18">
        <f>(Q6+Q3)/2*'03_Assumptions'!$F$16</f>
        <v>20988</v>
      </c>
      <c r="R17" s="18">
        <f>(R6+R3)/2*'03_Assumptions'!$F$16</f>
        <v>21738</v>
      </c>
      <c r="S17" s="18">
        <f>(S6+S3)/2*'03_Assumptions'!$F$16</f>
        <v>22452</v>
      </c>
      <c r="T17" s="18">
        <f>(T6+T3)/2*'03_Assumptions'!$F$16</f>
        <v>23130</v>
      </c>
      <c r="U17" s="18">
        <f>(U6+U3)/2*'03_Assumptions'!$F$16</f>
        <v>23772</v>
      </c>
      <c r="V17" s="18">
        <f>(V6+V3)/2*'03_Assumptions'!$F$16</f>
        <v>24381</v>
      </c>
      <c r="W17" s="18">
        <f>(W6+W3)/2*'03_Assumptions'!$F$16</f>
        <v>24960</v>
      </c>
      <c r="X17" s="18">
        <f>(X6+X3)/2*'03_Assumptions'!$F$16</f>
        <v>25512</v>
      </c>
      <c r="Y17" s="18">
        <f>(Y6+Y3)/2*'03_Assumptions'!$F$16</f>
        <v>26037</v>
      </c>
      <c r="Z17" s="18">
        <f>(Z6+Z3)/2*'03_Assumptions'!$F$16</f>
        <v>26535</v>
      </c>
      <c r="AA17" s="18">
        <f>(AA6+AA3)/2*'03_Assumptions'!$F$16</f>
        <v>27009</v>
      </c>
    </row>
    <row r="18">
      <c r="A18" s="4" t="s">
        <v>114</v>
      </c>
      <c r="B18" s="4" t="s">
        <v>115</v>
      </c>
      <c r="C18" s="4" t="s">
        <v>62</v>
      </c>
      <c r="D18" s="18">
        <f t="shared" ref="D18:AA18" si="4">SUM(D15:D17)</f>
        <v>11784.375</v>
      </c>
      <c r="E18" s="18">
        <f t="shared" si="4"/>
        <v>14335.0375</v>
      </c>
      <c r="F18" s="18">
        <f t="shared" si="4"/>
        <v>16760</v>
      </c>
      <c r="G18" s="18">
        <f t="shared" si="4"/>
        <v>19064.5</v>
      </c>
      <c r="H18" s="18">
        <f t="shared" si="4"/>
        <v>21253.775</v>
      </c>
      <c r="I18" s="18">
        <f t="shared" si="4"/>
        <v>23333.0625</v>
      </c>
      <c r="J18" s="18">
        <f t="shared" si="4"/>
        <v>25307.6</v>
      </c>
      <c r="K18" s="18">
        <f t="shared" si="4"/>
        <v>27187.8625</v>
      </c>
      <c r="L18" s="18">
        <f t="shared" si="4"/>
        <v>28973.85</v>
      </c>
      <c r="M18" s="18">
        <f t="shared" si="4"/>
        <v>30670.8</v>
      </c>
      <c r="N18" s="18">
        <f t="shared" si="4"/>
        <v>32283.95</v>
      </c>
      <c r="O18" s="18">
        <f t="shared" si="4"/>
        <v>33813.3</v>
      </c>
      <c r="P18" s="18">
        <f t="shared" si="4"/>
        <v>35264.0875</v>
      </c>
      <c r="Q18" s="18">
        <f t="shared" si="4"/>
        <v>36641.55</v>
      </c>
      <c r="R18" s="18">
        <f t="shared" si="4"/>
        <v>37950.925</v>
      </c>
      <c r="S18" s="18">
        <f t="shared" si="4"/>
        <v>39197.45</v>
      </c>
      <c r="T18" s="18">
        <f t="shared" si="4"/>
        <v>40381.125</v>
      </c>
      <c r="U18" s="18">
        <f t="shared" si="4"/>
        <v>41501.95</v>
      </c>
      <c r="V18" s="18">
        <f t="shared" si="4"/>
        <v>42565.1625</v>
      </c>
      <c r="W18" s="18">
        <f t="shared" si="4"/>
        <v>43576</v>
      </c>
      <c r="X18" s="18">
        <f t="shared" si="4"/>
        <v>44539.7</v>
      </c>
      <c r="Y18" s="18">
        <f t="shared" si="4"/>
        <v>45456.2625</v>
      </c>
      <c r="Z18" s="18">
        <f t="shared" si="4"/>
        <v>46325.6875</v>
      </c>
      <c r="AA18" s="18">
        <f t="shared" si="4"/>
        <v>47153.2125</v>
      </c>
    </row>
    <row r="19">
      <c r="A19" s="4" t="s">
        <v>116</v>
      </c>
      <c r="B19" s="4" t="s">
        <v>117</v>
      </c>
      <c r="C19" s="4" t="s">
        <v>62</v>
      </c>
      <c r="D19" s="41">
        <f t="shared" ref="D19:AA19" si="5">D12-D18</f>
        <v>44465.625</v>
      </c>
      <c r="E19" s="41">
        <f t="shared" si="5"/>
        <v>54089.9625</v>
      </c>
      <c r="F19" s="41">
        <f t="shared" si="5"/>
        <v>63240</v>
      </c>
      <c r="G19" s="41">
        <f t="shared" si="5"/>
        <v>71935.5</v>
      </c>
      <c r="H19" s="41">
        <f t="shared" si="5"/>
        <v>80196.225</v>
      </c>
      <c r="I19" s="41">
        <f t="shared" si="5"/>
        <v>88041.9375</v>
      </c>
      <c r="J19" s="41">
        <f t="shared" si="5"/>
        <v>95492.4</v>
      </c>
      <c r="K19" s="41">
        <f t="shared" si="5"/>
        <v>102587.1375</v>
      </c>
      <c r="L19" s="41">
        <f t="shared" si="5"/>
        <v>109326.15</v>
      </c>
      <c r="M19" s="41">
        <f t="shared" si="5"/>
        <v>115729.2</v>
      </c>
      <c r="N19" s="41">
        <f t="shared" si="5"/>
        <v>121816.05</v>
      </c>
      <c r="O19" s="41">
        <f t="shared" si="5"/>
        <v>127586.7</v>
      </c>
      <c r="P19" s="41">
        <f t="shared" si="5"/>
        <v>133060.9125</v>
      </c>
      <c r="Q19" s="41">
        <f t="shared" si="5"/>
        <v>138258.45</v>
      </c>
      <c r="R19" s="41">
        <f t="shared" si="5"/>
        <v>143199.075</v>
      </c>
      <c r="S19" s="41">
        <f t="shared" si="5"/>
        <v>147902.55</v>
      </c>
      <c r="T19" s="41">
        <f t="shared" si="5"/>
        <v>152368.875</v>
      </c>
      <c r="U19" s="41">
        <f t="shared" si="5"/>
        <v>156598.05</v>
      </c>
      <c r="V19" s="41">
        <f t="shared" si="5"/>
        <v>160609.8375</v>
      </c>
      <c r="W19" s="41">
        <f t="shared" si="5"/>
        <v>164424</v>
      </c>
      <c r="X19" s="41">
        <f t="shared" si="5"/>
        <v>168060.3</v>
      </c>
      <c r="Y19" s="41">
        <f t="shared" si="5"/>
        <v>171518.7375</v>
      </c>
      <c r="Z19" s="41">
        <f t="shared" si="5"/>
        <v>174799.3125</v>
      </c>
      <c r="AA19" s="41">
        <f t="shared" si="5"/>
        <v>177921.7875</v>
      </c>
    </row>
    <row r="20">
      <c r="A20" s="4" t="s">
        <v>118</v>
      </c>
      <c r="B20" s="4" t="s">
        <v>119</v>
      </c>
      <c r="C20" s="4" t="s">
        <v>44</v>
      </c>
      <c r="D20" s="42">
        <f t="shared" ref="D20:AA20" si="6">D19/D12</f>
        <v>0.7905</v>
      </c>
      <c r="E20" s="42">
        <f t="shared" si="6"/>
        <v>0.7905</v>
      </c>
      <c r="F20" s="42">
        <f t="shared" si="6"/>
        <v>0.7905</v>
      </c>
      <c r="G20" s="42">
        <f t="shared" si="6"/>
        <v>0.7905</v>
      </c>
      <c r="H20" s="42">
        <f t="shared" si="6"/>
        <v>0.7905</v>
      </c>
      <c r="I20" s="42">
        <f t="shared" si="6"/>
        <v>0.7905</v>
      </c>
      <c r="J20" s="42">
        <f t="shared" si="6"/>
        <v>0.7905</v>
      </c>
      <c r="K20" s="42">
        <f t="shared" si="6"/>
        <v>0.7905</v>
      </c>
      <c r="L20" s="42">
        <f t="shared" si="6"/>
        <v>0.7905</v>
      </c>
      <c r="M20" s="42">
        <f t="shared" si="6"/>
        <v>0.7905</v>
      </c>
      <c r="N20" s="42">
        <f t="shared" si="6"/>
        <v>0.7905</v>
      </c>
      <c r="O20" s="42">
        <f t="shared" si="6"/>
        <v>0.7905</v>
      </c>
      <c r="P20" s="42">
        <f t="shared" si="6"/>
        <v>0.7905</v>
      </c>
      <c r="Q20" s="42">
        <f t="shared" si="6"/>
        <v>0.7905</v>
      </c>
      <c r="R20" s="42">
        <f t="shared" si="6"/>
        <v>0.7905</v>
      </c>
      <c r="S20" s="42">
        <f t="shared" si="6"/>
        <v>0.7905</v>
      </c>
      <c r="T20" s="42">
        <f t="shared" si="6"/>
        <v>0.7905</v>
      </c>
      <c r="U20" s="42">
        <f t="shared" si="6"/>
        <v>0.7905</v>
      </c>
      <c r="V20" s="42">
        <f t="shared" si="6"/>
        <v>0.7905</v>
      </c>
      <c r="W20" s="42">
        <f t="shared" si="6"/>
        <v>0.7905</v>
      </c>
      <c r="X20" s="42">
        <f t="shared" si="6"/>
        <v>0.7905</v>
      </c>
      <c r="Y20" s="42">
        <f t="shared" si="6"/>
        <v>0.7905</v>
      </c>
      <c r="Z20" s="42">
        <f t="shared" si="6"/>
        <v>0.7905</v>
      </c>
      <c r="AA20" s="42">
        <f t="shared" si="6"/>
        <v>0.7905</v>
      </c>
    </row>
    <row r="22">
      <c r="A22" s="2" t="s">
        <v>120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121</v>
      </c>
      <c r="B23" s="4" t="s">
        <v>122</v>
      </c>
      <c r="C23" s="4" t="s">
        <v>62</v>
      </c>
      <c r="D23" s="18">
        <f>'03_Assumptions'!$F$21</f>
        <v>25000</v>
      </c>
      <c r="E23" s="18">
        <f>'03_Assumptions'!$F$21</f>
        <v>25000</v>
      </c>
      <c r="F23" s="18">
        <f>'03_Assumptions'!$F$21</f>
        <v>25000</v>
      </c>
      <c r="G23" s="18">
        <f>'03_Assumptions'!$F$21</f>
        <v>25000</v>
      </c>
      <c r="H23" s="18">
        <f>'03_Assumptions'!$F$21</f>
        <v>25000</v>
      </c>
      <c r="I23" s="18">
        <f>'03_Assumptions'!$F$21</f>
        <v>25000</v>
      </c>
      <c r="J23" s="18">
        <f>'03_Assumptions'!$F$21</f>
        <v>25000</v>
      </c>
      <c r="K23" s="18">
        <f>'03_Assumptions'!$F$21</f>
        <v>25000</v>
      </c>
      <c r="L23" s="18">
        <f>'03_Assumptions'!$F$21</f>
        <v>25000</v>
      </c>
      <c r="M23" s="18">
        <f>'03_Assumptions'!$F$21</f>
        <v>25000</v>
      </c>
      <c r="N23" s="18">
        <f>'03_Assumptions'!$F$21</f>
        <v>25000</v>
      </c>
      <c r="O23" s="18">
        <f>'03_Assumptions'!$F$21</f>
        <v>25000</v>
      </c>
      <c r="P23" s="18">
        <f>'03_Assumptions'!$F$21</f>
        <v>25000</v>
      </c>
      <c r="Q23" s="18">
        <f>'03_Assumptions'!$F$21</f>
        <v>25000</v>
      </c>
      <c r="R23" s="18">
        <f>'03_Assumptions'!$F$21</f>
        <v>25000</v>
      </c>
      <c r="S23" s="18">
        <f>'03_Assumptions'!$F$21</f>
        <v>25000</v>
      </c>
      <c r="T23" s="18">
        <f>'03_Assumptions'!$F$21</f>
        <v>25000</v>
      </c>
      <c r="U23" s="18">
        <f>'03_Assumptions'!$F$21</f>
        <v>25000</v>
      </c>
      <c r="V23" s="18">
        <f>'03_Assumptions'!$F$21</f>
        <v>25000</v>
      </c>
      <c r="W23" s="18">
        <f>'03_Assumptions'!$F$21</f>
        <v>25000</v>
      </c>
      <c r="X23" s="18">
        <f>'03_Assumptions'!$F$21</f>
        <v>25000</v>
      </c>
      <c r="Y23" s="18">
        <f>'03_Assumptions'!$F$21</f>
        <v>25000</v>
      </c>
      <c r="Z23" s="18">
        <f>'03_Assumptions'!$F$21</f>
        <v>25000</v>
      </c>
      <c r="AA23" s="18">
        <f>'03_Assumptions'!$F$21</f>
        <v>25000</v>
      </c>
    </row>
    <row r="24">
      <c r="A24" s="4" t="s">
        <v>123</v>
      </c>
      <c r="B24" s="4" t="s">
        <v>124</v>
      </c>
      <c r="C24" s="4" t="s">
        <v>62</v>
      </c>
      <c r="D24" s="18">
        <f>'03_Assumptions'!$F$22</f>
        <v>5000</v>
      </c>
      <c r="E24" s="18">
        <f>'03_Assumptions'!$F$22</f>
        <v>5000</v>
      </c>
      <c r="F24" s="18">
        <f>'03_Assumptions'!$F$22</f>
        <v>5000</v>
      </c>
      <c r="G24" s="18">
        <f>'03_Assumptions'!$F$22</f>
        <v>5000</v>
      </c>
      <c r="H24" s="18">
        <f>'03_Assumptions'!$F$22</f>
        <v>5000</v>
      </c>
      <c r="I24" s="18">
        <f>'03_Assumptions'!$F$22</f>
        <v>5000</v>
      </c>
      <c r="J24" s="18">
        <f>'03_Assumptions'!$F$22</f>
        <v>5000</v>
      </c>
      <c r="K24" s="18">
        <f>'03_Assumptions'!$F$22</f>
        <v>5000</v>
      </c>
      <c r="L24" s="18">
        <f>'03_Assumptions'!$F$22</f>
        <v>5000</v>
      </c>
      <c r="M24" s="18">
        <f>'03_Assumptions'!$F$22</f>
        <v>5000</v>
      </c>
      <c r="N24" s="18">
        <f>'03_Assumptions'!$F$22</f>
        <v>5000</v>
      </c>
      <c r="O24" s="18">
        <f>'03_Assumptions'!$F$22</f>
        <v>5000</v>
      </c>
      <c r="P24" s="18">
        <f>'03_Assumptions'!$F$22</f>
        <v>5000</v>
      </c>
      <c r="Q24" s="18">
        <f>'03_Assumptions'!$F$22</f>
        <v>5000</v>
      </c>
      <c r="R24" s="18">
        <f>'03_Assumptions'!$F$22</f>
        <v>5000</v>
      </c>
      <c r="S24" s="18">
        <f>'03_Assumptions'!$F$22</f>
        <v>5000</v>
      </c>
      <c r="T24" s="18">
        <f>'03_Assumptions'!$F$22</f>
        <v>5000</v>
      </c>
      <c r="U24" s="18">
        <f>'03_Assumptions'!$F$22</f>
        <v>5000</v>
      </c>
      <c r="V24" s="18">
        <f>'03_Assumptions'!$F$22</f>
        <v>5000</v>
      </c>
      <c r="W24" s="18">
        <f>'03_Assumptions'!$F$22</f>
        <v>5000</v>
      </c>
      <c r="X24" s="18">
        <f>'03_Assumptions'!$F$22</f>
        <v>5000</v>
      </c>
      <c r="Y24" s="18">
        <f>'03_Assumptions'!$F$22</f>
        <v>5000</v>
      </c>
      <c r="Z24" s="18">
        <f>'03_Assumptions'!$F$22</f>
        <v>5000</v>
      </c>
      <c r="AA24" s="18">
        <f>'03_Assumptions'!$F$22</f>
        <v>5000</v>
      </c>
    </row>
    <row r="25">
      <c r="A25" s="4" t="s">
        <v>125</v>
      </c>
      <c r="B25" s="4" t="s">
        <v>68</v>
      </c>
      <c r="C25" s="4" t="s">
        <v>62</v>
      </c>
      <c r="D25" s="18">
        <f>'03_Assumptions'!$F$23</f>
        <v>1800</v>
      </c>
      <c r="E25" s="18">
        <f>'03_Assumptions'!$F$23</f>
        <v>1800</v>
      </c>
      <c r="F25" s="18">
        <f>'03_Assumptions'!$F$23</f>
        <v>1800</v>
      </c>
      <c r="G25" s="18">
        <f>'03_Assumptions'!$F$23</f>
        <v>1800</v>
      </c>
      <c r="H25" s="18">
        <f>'03_Assumptions'!$F$23</f>
        <v>1800</v>
      </c>
      <c r="I25" s="18">
        <f>'03_Assumptions'!$F$23</f>
        <v>1800</v>
      </c>
      <c r="J25" s="18">
        <f>'03_Assumptions'!$F$23</f>
        <v>1800</v>
      </c>
      <c r="K25" s="18">
        <f>'03_Assumptions'!$F$23</f>
        <v>1800</v>
      </c>
      <c r="L25" s="18">
        <f>'03_Assumptions'!$F$23</f>
        <v>1800</v>
      </c>
      <c r="M25" s="18">
        <f>'03_Assumptions'!$F$23</f>
        <v>1800</v>
      </c>
      <c r="N25" s="18">
        <f>'03_Assumptions'!$F$23</f>
        <v>1800</v>
      </c>
      <c r="O25" s="18">
        <f>'03_Assumptions'!$F$23</f>
        <v>1800</v>
      </c>
      <c r="P25" s="18">
        <f>'03_Assumptions'!$F$23</f>
        <v>1800</v>
      </c>
      <c r="Q25" s="18">
        <f>'03_Assumptions'!$F$23</f>
        <v>1800</v>
      </c>
      <c r="R25" s="18">
        <f>'03_Assumptions'!$F$23</f>
        <v>1800</v>
      </c>
      <c r="S25" s="18">
        <f>'03_Assumptions'!$F$23</f>
        <v>1800</v>
      </c>
      <c r="T25" s="18">
        <f>'03_Assumptions'!$F$23</f>
        <v>1800</v>
      </c>
      <c r="U25" s="18">
        <f>'03_Assumptions'!$F$23</f>
        <v>1800</v>
      </c>
      <c r="V25" s="18">
        <f>'03_Assumptions'!$F$23</f>
        <v>1800</v>
      </c>
      <c r="W25" s="18">
        <f>'03_Assumptions'!$F$23</f>
        <v>1800</v>
      </c>
      <c r="X25" s="18">
        <f>'03_Assumptions'!$F$23</f>
        <v>1800</v>
      </c>
      <c r="Y25" s="18">
        <f>'03_Assumptions'!$F$23</f>
        <v>1800</v>
      </c>
      <c r="Z25" s="18">
        <f>'03_Assumptions'!$F$23</f>
        <v>1800</v>
      </c>
      <c r="AA25" s="18">
        <f>'03_Assumptions'!$F$23</f>
        <v>1800</v>
      </c>
    </row>
    <row r="26">
      <c r="A26" s="4" t="s">
        <v>126</v>
      </c>
      <c r="B26" s="4" t="s">
        <v>69</v>
      </c>
      <c r="C26" s="4" t="s">
        <v>62</v>
      </c>
      <c r="D26" s="18">
        <f>'03_Assumptions'!$F$24</f>
        <v>3000</v>
      </c>
      <c r="E26" s="18">
        <f>'03_Assumptions'!$F$24</f>
        <v>3000</v>
      </c>
      <c r="F26" s="18">
        <f>'03_Assumptions'!$F$24</f>
        <v>3000</v>
      </c>
      <c r="G26" s="18">
        <f>'03_Assumptions'!$F$24</f>
        <v>3000</v>
      </c>
      <c r="H26" s="18">
        <f>'03_Assumptions'!$F$24</f>
        <v>3000</v>
      </c>
      <c r="I26" s="18">
        <f>'03_Assumptions'!$F$24</f>
        <v>3000</v>
      </c>
      <c r="J26" s="18">
        <f>'03_Assumptions'!$F$24</f>
        <v>3000</v>
      </c>
      <c r="K26" s="18">
        <f>'03_Assumptions'!$F$24</f>
        <v>3000</v>
      </c>
      <c r="L26" s="18">
        <f>'03_Assumptions'!$F$24</f>
        <v>3000</v>
      </c>
      <c r="M26" s="18">
        <f>'03_Assumptions'!$F$24</f>
        <v>3000</v>
      </c>
      <c r="N26" s="18">
        <f>'03_Assumptions'!$F$24</f>
        <v>3000</v>
      </c>
      <c r="O26" s="18">
        <f>'03_Assumptions'!$F$24</f>
        <v>3000</v>
      </c>
      <c r="P26" s="18">
        <f>'03_Assumptions'!$F$24</f>
        <v>3000</v>
      </c>
      <c r="Q26" s="18">
        <f>'03_Assumptions'!$F$24</f>
        <v>3000</v>
      </c>
      <c r="R26" s="18">
        <f>'03_Assumptions'!$F$24</f>
        <v>3000</v>
      </c>
      <c r="S26" s="18">
        <f>'03_Assumptions'!$F$24</f>
        <v>3000</v>
      </c>
      <c r="T26" s="18">
        <f>'03_Assumptions'!$F$24</f>
        <v>3000</v>
      </c>
      <c r="U26" s="18">
        <f>'03_Assumptions'!$F$24</f>
        <v>3000</v>
      </c>
      <c r="V26" s="18">
        <f>'03_Assumptions'!$F$24</f>
        <v>3000</v>
      </c>
      <c r="W26" s="18">
        <f>'03_Assumptions'!$F$24</f>
        <v>3000</v>
      </c>
      <c r="X26" s="18">
        <f>'03_Assumptions'!$F$24</f>
        <v>3000</v>
      </c>
      <c r="Y26" s="18">
        <f>'03_Assumptions'!$F$24</f>
        <v>3000</v>
      </c>
      <c r="Z26" s="18">
        <f>'03_Assumptions'!$F$24</f>
        <v>3000</v>
      </c>
      <c r="AA26" s="18">
        <f>'03_Assumptions'!$F$24</f>
        <v>3000</v>
      </c>
    </row>
    <row r="27">
      <c r="A27" s="4" t="s">
        <v>127</v>
      </c>
      <c r="B27" s="4" t="s">
        <v>128</v>
      </c>
      <c r="C27" s="4" t="s">
        <v>62</v>
      </c>
      <c r="D27" s="41">
        <f t="shared" ref="D27:AA27" si="7">SUM(D23:D26)</f>
        <v>34800</v>
      </c>
      <c r="E27" s="41">
        <f t="shared" si="7"/>
        <v>34800</v>
      </c>
      <c r="F27" s="41">
        <f t="shared" si="7"/>
        <v>34800</v>
      </c>
      <c r="G27" s="41">
        <f t="shared" si="7"/>
        <v>34800</v>
      </c>
      <c r="H27" s="41">
        <f t="shared" si="7"/>
        <v>34800</v>
      </c>
      <c r="I27" s="41">
        <f t="shared" si="7"/>
        <v>34800</v>
      </c>
      <c r="J27" s="41">
        <f t="shared" si="7"/>
        <v>34800</v>
      </c>
      <c r="K27" s="41">
        <f t="shared" si="7"/>
        <v>34800</v>
      </c>
      <c r="L27" s="41">
        <f t="shared" si="7"/>
        <v>34800</v>
      </c>
      <c r="M27" s="41">
        <f t="shared" si="7"/>
        <v>34800</v>
      </c>
      <c r="N27" s="41">
        <f t="shared" si="7"/>
        <v>34800</v>
      </c>
      <c r="O27" s="41">
        <f t="shared" si="7"/>
        <v>34800</v>
      </c>
      <c r="P27" s="41">
        <f t="shared" si="7"/>
        <v>34800</v>
      </c>
      <c r="Q27" s="41">
        <f t="shared" si="7"/>
        <v>34800</v>
      </c>
      <c r="R27" s="41">
        <f t="shared" si="7"/>
        <v>34800</v>
      </c>
      <c r="S27" s="41">
        <f t="shared" si="7"/>
        <v>34800</v>
      </c>
      <c r="T27" s="41">
        <f t="shared" si="7"/>
        <v>34800</v>
      </c>
      <c r="U27" s="41">
        <f t="shared" si="7"/>
        <v>34800</v>
      </c>
      <c r="V27" s="41">
        <f t="shared" si="7"/>
        <v>34800</v>
      </c>
      <c r="W27" s="41">
        <f t="shared" si="7"/>
        <v>34800</v>
      </c>
      <c r="X27" s="41">
        <f t="shared" si="7"/>
        <v>34800</v>
      </c>
      <c r="Y27" s="41">
        <f t="shared" si="7"/>
        <v>34800</v>
      </c>
      <c r="Z27" s="41">
        <f t="shared" si="7"/>
        <v>34800</v>
      </c>
      <c r="AA27" s="41">
        <f t="shared" si="7"/>
        <v>34800</v>
      </c>
    </row>
    <row r="29">
      <c r="A29" s="2" t="s">
        <v>129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130</v>
      </c>
      <c r="B30" s="4" t="s">
        <v>131</v>
      </c>
      <c r="C30" s="4" t="s">
        <v>62</v>
      </c>
      <c r="D30" s="18">
        <f t="shared" ref="D30:AA30" si="8">D19-D27</f>
        <v>9665.625</v>
      </c>
      <c r="E30" s="18">
        <f t="shared" si="8"/>
        <v>19289.9625</v>
      </c>
      <c r="F30" s="18">
        <f t="shared" si="8"/>
        <v>28440</v>
      </c>
      <c r="G30" s="18">
        <f t="shared" si="8"/>
        <v>37135.5</v>
      </c>
      <c r="H30" s="18">
        <f t="shared" si="8"/>
        <v>45396.225</v>
      </c>
      <c r="I30" s="18">
        <f t="shared" si="8"/>
        <v>53241.9375</v>
      </c>
      <c r="J30" s="18">
        <f t="shared" si="8"/>
        <v>60692.4</v>
      </c>
      <c r="K30" s="18">
        <f t="shared" si="8"/>
        <v>67787.1375</v>
      </c>
      <c r="L30" s="18">
        <f t="shared" si="8"/>
        <v>74526.15</v>
      </c>
      <c r="M30" s="18">
        <f t="shared" si="8"/>
        <v>80929.2</v>
      </c>
      <c r="N30" s="18">
        <f t="shared" si="8"/>
        <v>87016.05</v>
      </c>
      <c r="O30" s="18">
        <f t="shared" si="8"/>
        <v>92786.7</v>
      </c>
      <c r="P30" s="18">
        <f t="shared" si="8"/>
        <v>98260.9125</v>
      </c>
      <c r="Q30" s="18">
        <f t="shared" si="8"/>
        <v>103458.45</v>
      </c>
      <c r="R30" s="18">
        <f t="shared" si="8"/>
        <v>108399.075</v>
      </c>
      <c r="S30" s="18">
        <f t="shared" si="8"/>
        <v>113102.55</v>
      </c>
      <c r="T30" s="18">
        <f t="shared" si="8"/>
        <v>117568.875</v>
      </c>
      <c r="U30" s="18">
        <f t="shared" si="8"/>
        <v>121798.05</v>
      </c>
      <c r="V30" s="18">
        <f t="shared" si="8"/>
        <v>125809.8375</v>
      </c>
      <c r="W30" s="18">
        <f t="shared" si="8"/>
        <v>129624</v>
      </c>
      <c r="X30" s="18">
        <f t="shared" si="8"/>
        <v>133260.3</v>
      </c>
      <c r="Y30" s="18">
        <f t="shared" si="8"/>
        <v>136718.7375</v>
      </c>
      <c r="Z30" s="18">
        <f t="shared" si="8"/>
        <v>139999.3125</v>
      </c>
      <c r="AA30" s="18">
        <f t="shared" si="8"/>
        <v>143121.7875</v>
      </c>
    </row>
    <row r="31">
      <c r="A31" s="4" t="s">
        <v>132</v>
      </c>
      <c r="B31" s="4" t="s">
        <v>133</v>
      </c>
      <c r="C31" s="4" t="s">
        <v>62</v>
      </c>
      <c r="D31" s="18">
        <f>'03_Assumptions'!$F$20</f>
        <v>150000</v>
      </c>
      <c r="E31" s="18">
        <f t="shared" ref="E31:AA31" si="9">D33</f>
        <v>159665.625</v>
      </c>
      <c r="F31" s="18">
        <f t="shared" si="9"/>
        <v>178955.5875</v>
      </c>
      <c r="G31" s="18">
        <f t="shared" si="9"/>
        <v>207395.5875</v>
      </c>
      <c r="H31" s="18">
        <f t="shared" si="9"/>
        <v>244531.0875</v>
      </c>
      <c r="I31" s="18">
        <f t="shared" si="9"/>
        <v>289927.3125</v>
      </c>
      <c r="J31" s="18">
        <f t="shared" si="9"/>
        <v>343169.25</v>
      </c>
      <c r="K31" s="18">
        <f t="shared" si="9"/>
        <v>403861.65</v>
      </c>
      <c r="L31" s="18">
        <f t="shared" si="9"/>
        <v>471648.7875</v>
      </c>
      <c r="M31" s="18">
        <f t="shared" si="9"/>
        <v>546174.9375</v>
      </c>
      <c r="N31" s="18">
        <f t="shared" si="9"/>
        <v>627104.1375</v>
      </c>
      <c r="O31" s="18">
        <f t="shared" si="9"/>
        <v>714120.1875</v>
      </c>
      <c r="P31" s="18">
        <f t="shared" si="9"/>
        <v>806906.8875</v>
      </c>
      <c r="Q31" s="18">
        <f t="shared" si="9"/>
        <v>905167.8</v>
      </c>
      <c r="R31" s="18">
        <f t="shared" si="9"/>
        <v>1008626.25</v>
      </c>
      <c r="S31" s="18">
        <f t="shared" si="9"/>
        <v>1117025.325</v>
      </c>
      <c r="T31" s="18">
        <f t="shared" si="9"/>
        <v>1230127.875</v>
      </c>
      <c r="U31" s="18">
        <f t="shared" si="9"/>
        <v>1347696.75</v>
      </c>
      <c r="V31" s="18">
        <f t="shared" si="9"/>
        <v>1469494.8</v>
      </c>
      <c r="W31" s="18">
        <f t="shared" si="9"/>
        <v>1595304.638</v>
      </c>
      <c r="X31" s="18">
        <f t="shared" si="9"/>
        <v>1724928.638</v>
      </c>
      <c r="Y31" s="18">
        <f t="shared" si="9"/>
        <v>1858188.938</v>
      </c>
      <c r="Z31" s="18">
        <f t="shared" si="9"/>
        <v>1994907.675</v>
      </c>
      <c r="AA31" s="18">
        <f t="shared" si="9"/>
        <v>2134906.988</v>
      </c>
    </row>
    <row r="32">
      <c r="A32" s="4" t="s">
        <v>134</v>
      </c>
      <c r="B32" s="4" t="s">
        <v>135</v>
      </c>
      <c r="C32" s="4" t="s">
        <v>62</v>
      </c>
      <c r="D32" s="18">
        <f t="shared" ref="D32:AA32" si="10">D30</f>
        <v>9665.625</v>
      </c>
      <c r="E32" s="18">
        <f t="shared" si="10"/>
        <v>19289.9625</v>
      </c>
      <c r="F32" s="18">
        <f t="shared" si="10"/>
        <v>28440</v>
      </c>
      <c r="G32" s="18">
        <f t="shared" si="10"/>
        <v>37135.5</v>
      </c>
      <c r="H32" s="18">
        <f t="shared" si="10"/>
        <v>45396.225</v>
      </c>
      <c r="I32" s="18">
        <f t="shared" si="10"/>
        <v>53241.9375</v>
      </c>
      <c r="J32" s="18">
        <f t="shared" si="10"/>
        <v>60692.4</v>
      </c>
      <c r="K32" s="18">
        <f t="shared" si="10"/>
        <v>67787.1375</v>
      </c>
      <c r="L32" s="18">
        <f t="shared" si="10"/>
        <v>74526.15</v>
      </c>
      <c r="M32" s="18">
        <f t="shared" si="10"/>
        <v>80929.2</v>
      </c>
      <c r="N32" s="18">
        <f t="shared" si="10"/>
        <v>87016.05</v>
      </c>
      <c r="O32" s="18">
        <f t="shared" si="10"/>
        <v>92786.7</v>
      </c>
      <c r="P32" s="18">
        <f t="shared" si="10"/>
        <v>98260.9125</v>
      </c>
      <c r="Q32" s="18">
        <f t="shared" si="10"/>
        <v>103458.45</v>
      </c>
      <c r="R32" s="18">
        <f t="shared" si="10"/>
        <v>108399.075</v>
      </c>
      <c r="S32" s="18">
        <f t="shared" si="10"/>
        <v>113102.55</v>
      </c>
      <c r="T32" s="18">
        <f t="shared" si="10"/>
        <v>117568.875</v>
      </c>
      <c r="U32" s="18">
        <f t="shared" si="10"/>
        <v>121798.05</v>
      </c>
      <c r="V32" s="18">
        <f t="shared" si="10"/>
        <v>125809.8375</v>
      </c>
      <c r="W32" s="18">
        <f t="shared" si="10"/>
        <v>129624</v>
      </c>
      <c r="X32" s="18">
        <f t="shared" si="10"/>
        <v>133260.3</v>
      </c>
      <c r="Y32" s="18">
        <f t="shared" si="10"/>
        <v>136718.7375</v>
      </c>
      <c r="Z32" s="18">
        <f t="shared" si="10"/>
        <v>139999.3125</v>
      </c>
      <c r="AA32" s="18">
        <f t="shared" si="10"/>
        <v>143121.7875</v>
      </c>
    </row>
    <row r="33">
      <c r="A33" s="4" t="s">
        <v>136</v>
      </c>
      <c r="B33" s="4" t="s">
        <v>137</v>
      </c>
      <c r="C33" s="4" t="s">
        <v>62</v>
      </c>
      <c r="D33" s="41">
        <f t="shared" ref="D33:AA33" si="11">D31+D32</f>
        <v>159665.625</v>
      </c>
      <c r="E33" s="41">
        <f t="shared" si="11"/>
        <v>178955.5875</v>
      </c>
      <c r="F33" s="41">
        <f t="shared" si="11"/>
        <v>207395.5875</v>
      </c>
      <c r="G33" s="41">
        <f t="shared" si="11"/>
        <v>244531.0875</v>
      </c>
      <c r="H33" s="41">
        <f t="shared" si="11"/>
        <v>289927.3125</v>
      </c>
      <c r="I33" s="41">
        <f t="shared" si="11"/>
        <v>343169.25</v>
      </c>
      <c r="J33" s="41">
        <f t="shared" si="11"/>
        <v>403861.65</v>
      </c>
      <c r="K33" s="41">
        <f t="shared" si="11"/>
        <v>471648.7875</v>
      </c>
      <c r="L33" s="41">
        <f t="shared" si="11"/>
        <v>546174.9375</v>
      </c>
      <c r="M33" s="41">
        <f t="shared" si="11"/>
        <v>627104.1375</v>
      </c>
      <c r="N33" s="41">
        <f t="shared" si="11"/>
        <v>714120.1875</v>
      </c>
      <c r="O33" s="41">
        <f t="shared" si="11"/>
        <v>806906.8875</v>
      </c>
      <c r="P33" s="41">
        <f t="shared" si="11"/>
        <v>905167.8</v>
      </c>
      <c r="Q33" s="41">
        <f t="shared" si="11"/>
        <v>1008626.25</v>
      </c>
      <c r="R33" s="41">
        <f t="shared" si="11"/>
        <v>1117025.325</v>
      </c>
      <c r="S33" s="41">
        <f t="shared" si="11"/>
        <v>1230127.875</v>
      </c>
      <c r="T33" s="41">
        <f t="shared" si="11"/>
        <v>1347696.75</v>
      </c>
      <c r="U33" s="41">
        <f t="shared" si="11"/>
        <v>1469494.8</v>
      </c>
      <c r="V33" s="41">
        <f t="shared" si="11"/>
        <v>1595304.638</v>
      </c>
      <c r="W33" s="41">
        <f t="shared" si="11"/>
        <v>1724928.638</v>
      </c>
      <c r="X33" s="41">
        <f t="shared" si="11"/>
        <v>1858188.938</v>
      </c>
      <c r="Y33" s="41">
        <f t="shared" si="11"/>
        <v>1994907.675</v>
      </c>
      <c r="Z33" s="41">
        <f t="shared" si="11"/>
        <v>2134906.988</v>
      </c>
      <c r="AA33" s="41">
        <f t="shared" si="11"/>
        <v>2278028.775</v>
      </c>
    </row>
    <row r="34">
      <c r="A34" s="4" t="s">
        <v>138</v>
      </c>
      <c r="B34" s="4" t="s">
        <v>139</v>
      </c>
      <c r="C34" s="4" t="s">
        <v>140</v>
      </c>
      <c r="D34" s="13" t="str">
        <f t="shared" ref="D34:AA34" si="12">IF(D33&gt;0, "SOLVENT", "CASH DEFICIT")</f>
        <v>SOLVENT</v>
      </c>
      <c r="E34" s="13" t="str">
        <f t="shared" si="12"/>
        <v>SOLVENT</v>
      </c>
      <c r="F34" s="13" t="str">
        <f t="shared" si="12"/>
        <v>SOLVENT</v>
      </c>
      <c r="G34" s="13" t="str">
        <f t="shared" si="12"/>
        <v>SOLVENT</v>
      </c>
      <c r="H34" s="13" t="str">
        <f t="shared" si="12"/>
        <v>SOLVENT</v>
      </c>
      <c r="I34" s="13" t="str">
        <f t="shared" si="12"/>
        <v>SOLVENT</v>
      </c>
      <c r="J34" s="13" t="str">
        <f t="shared" si="12"/>
        <v>SOLVENT</v>
      </c>
      <c r="K34" s="13" t="str">
        <f t="shared" si="12"/>
        <v>SOLVENT</v>
      </c>
      <c r="L34" s="13" t="str">
        <f t="shared" si="12"/>
        <v>SOLVENT</v>
      </c>
      <c r="M34" s="13" t="str">
        <f t="shared" si="12"/>
        <v>SOLVENT</v>
      </c>
      <c r="N34" s="13" t="str">
        <f t="shared" si="12"/>
        <v>SOLVENT</v>
      </c>
      <c r="O34" s="13" t="str">
        <f t="shared" si="12"/>
        <v>SOLVENT</v>
      </c>
      <c r="P34" s="13" t="str">
        <f t="shared" si="12"/>
        <v>SOLVENT</v>
      </c>
      <c r="Q34" s="13" t="str">
        <f t="shared" si="12"/>
        <v>SOLVENT</v>
      </c>
      <c r="R34" s="13" t="str">
        <f t="shared" si="12"/>
        <v>SOLVENT</v>
      </c>
      <c r="S34" s="13" t="str">
        <f t="shared" si="12"/>
        <v>SOLVENT</v>
      </c>
      <c r="T34" s="13" t="str">
        <f t="shared" si="12"/>
        <v>SOLVENT</v>
      </c>
      <c r="U34" s="13" t="str">
        <f t="shared" si="12"/>
        <v>SOLVENT</v>
      </c>
      <c r="V34" s="13" t="str">
        <f t="shared" si="12"/>
        <v>SOLVENT</v>
      </c>
      <c r="W34" s="13" t="str">
        <f t="shared" si="12"/>
        <v>SOLVENT</v>
      </c>
      <c r="X34" s="13" t="str">
        <f t="shared" si="12"/>
        <v>SOLVENT</v>
      </c>
      <c r="Y34" s="13" t="str">
        <f t="shared" si="12"/>
        <v>SOLVENT</v>
      </c>
      <c r="Z34" s="13" t="str">
        <f t="shared" si="12"/>
        <v>SOLVENT</v>
      </c>
      <c r="AA34" s="13" t="str">
        <f t="shared" si="12"/>
        <v>SOLVENT</v>
      </c>
    </row>
    <row r="35">
      <c r="A35" s="4" t="s">
        <v>141</v>
      </c>
      <c r="B35" s="4" t="s">
        <v>142</v>
      </c>
      <c r="C35" s="4" t="s">
        <v>62</v>
      </c>
      <c r="D35" s="18">
        <f t="shared" ref="D35:AA35" si="13">D27+D18</f>
        <v>46584.375</v>
      </c>
      <c r="E35" s="18">
        <f t="shared" si="13"/>
        <v>49135.0375</v>
      </c>
      <c r="F35" s="18">
        <f t="shared" si="13"/>
        <v>51560</v>
      </c>
      <c r="G35" s="18">
        <f t="shared" si="13"/>
        <v>53864.5</v>
      </c>
      <c r="H35" s="18">
        <f t="shared" si="13"/>
        <v>56053.775</v>
      </c>
      <c r="I35" s="18">
        <f t="shared" si="13"/>
        <v>58133.0625</v>
      </c>
      <c r="J35" s="18">
        <f t="shared" si="13"/>
        <v>60107.6</v>
      </c>
      <c r="K35" s="18">
        <f t="shared" si="13"/>
        <v>61987.8625</v>
      </c>
      <c r="L35" s="18">
        <f t="shared" si="13"/>
        <v>63773.85</v>
      </c>
      <c r="M35" s="18">
        <f t="shared" si="13"/>
        <v>65470.8</v>
      </c>
      <c r="N35" s="18">
        <f t="shared" si="13"/>
        <v>67083.95</v>
      </c>
      <c r="O35" s="18">
        <f t="shared" si="13"/>
        <v>68613.3</v>
      </c>
      <c r="P35" s="18">
        <f t="shared" si="13"/>
        <v>70064.0875</v>
      </c>
      <c r="Q35" s="18">
        <f t="shared" si="13"/>
        <v>71441.55</v>
      </c>
      <c r="R35" s="18">
        <f t="shared" si="13"/>
        <v>72750.925</v>
      </c>
      <c r="S35" s="18">
        <f t="shared" si="13"/>
        <v>73997.45</v>
      </c>
      <c r="T35" s="18">
        <f t="shared" si="13"/>
        <v>75181.125</v>
      </c>
      <c r="U35" s="18">
        <f t="shared" si="13"/>
        <v>76301.95</v>
      </c>
      <c r="V35" s="18">
        <f t="shared" si="13"/>
        <v>77365.1625</v>
      </c>
      <c r="W35" s="18">
        <f t="shared" si="13"/>
        <v>78376</v>
      </c>
      <c r="X35" s="18">
        <f t="shared" si="13"/>
        <v>79339.7</v>
      </c>
      <c r="Y35" s="18">
        <f t="shared" si="13"/>
        <v>80256.2625</v>
      </c>
      <c r="Z35" s="18">
        <f t="shared" si="13"/>
        <v>81125.6875</v>
      </c>
      <c r="AA35" s="18">
        <f t="shared" si="13"/>
        <v>81953.2125</v>
      </c>
    </row>
    <row r="36">
      <c r="A36" s="4"/>
      <c r="B36" s="4"/>
      <c r="C36" s="4"/>
    </row>
    <row r="37">
      <c r="A37" s="2" t="s">
        <v>143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144</v>
      </c>
      <c r="B38" s="4" t="s">
        <v>145</v>
      </c>
      <c r="C38" s="4" t="s">
        <v>146</v>
      </c>
      <c r="D38" s="43">
        <v>0.0</v>
      </c>
      <c r="E38" s="18">
        <f t="shared" ref="E38:AA38" si="14">E31-D33</f>
        <v>0</v>
      </c>
      <c r="F38" s="18">
        <f t="shared" si="14"/>
        <v>0</v>
      </c>
      <c r="G38" s="18">
        <f t="shared" si="14"/>
        <v>0</v>
      </c>
      <c r="H38" s="18">
        <f t="shared" si="14"/>
        <v>0</v>
      </c>
      <c r="I38" s="18">
        <f t="shared" si="14"/>
        <v>0</v>
      </c>
      <c r="J38" s="18">
        <f t="shared" si="14"/>
        <v>0</v>
      </c>
      <c r="K38" s="18">
        <f t="shared" si="14"/>
        <v>0</v>
      </c>
      <c r="L38" s="18">
        <f t="shared" si="14"/>
        <v>0</v>
      </c>
      <c r="M38" s="18">
        <f t="shared" si="14"/>
        <v>0</v>
      </c>
      <c r="N38" s="18">
        <f t="shared" si="14"/>
        <v>0</v>
      </c>
      <c r="O38" s="18">
        <f t="shared" si="14"/>
        <v>0</v>
      </c>
      <c r="P38" s="18">
        <f t="shared" si="14"/>
        <v>0</v>
      </c>
      <c r="Q38" s="18">
        <f t="shared" si="14"/>
        <v>0</v>
      </c>
      <c r="R38" s="18">
        <f t="shared" si="14"/>
        <v>0</v>
      </c>
      <c r="S38" s="18">
        <f t="shared" si="14"/>
        <v>0</v>
      </c>
      <c r="T38" s="18">
        <f t="shared" si="14"/>
        <v>0</v>
      </c>
      <c r="U38" s="18">
        <f t="shared" si="14"/>
        <v>0</v>
      </c>
      <c r="V38" s="18">
        <f t="shared" si="14"/>
        <v>0</v>
      </c>
      <c r="W38" s="18">
        <f t="shared" si="14"/>
        <v>0</v>
      </c>
      <c r="X38" s="18">
        <f t="shared" si="14"/>
        <v>0</v>
      </c>
      <c r="Y38" s="18">
        <f t="shared" si="14"/>
        <v>0</v>
      </c>
      <c r="Z38" s="18">
        <f t="shared" si="14"/>
        <v>0</v>
      </c>
      <c r="AA38" s="18">
        <f t="shared" si="14"/>
        <v>0</v>
      </c>
    </row>
    <row r="39">
      <c r="A39" s="4" t="s">
        <v>147</v>
      </c>
      <c r="B39" s="4" t="s">
        <v>148</v>
      </c>
      <c r="C39" s="4" t="s">
        <v>146</v>
      </c>
      <c r="D39" s="5">
        <f t="shared" ref="D39:AA39" si="15">D3+D4+D5-D6</f>
        <v>0</v>
      </c>
      <c r="E39" s="5">
        <f t="shared" si="15"/>
        <v>0</v>
      </c>
      <c r="F39" s="5">
        <f t="shared" si="15"/>
        <v>0</v>
      </c>
      <c r="G39" s="5">
        <f t="shared" si="15"/>
        <v>0</v>
      </c>
      <c r="H39" s="5">
        <f t="shared" si="15"/>
        <v>0</v>
      </c>
      <c r="I39" s="5">
        <f t="shared" si="15"/>
        <v>0</v>
      </c>
      <c r="J39" s="5">
        <f t="shared" si="15"/>
        <v>0</v>
      </c>
      <c r="K39" s="5">
        <f t="shared" si="15"/>
        <v>0</v>
      </c>
      <c r="L39" s="5">
        <f t="shared" si="15"/>
        <v>0</v>
      </c>
      <c r="M39" s="5">
        <f t="shared" si="15"/>
        <v>0</v>
      </c>
      <c r="N39" s="5">
        <f t="shared" si="15"/>
        <v>0</v>
      </c>
      <c r="O39" s="5">
        <f t="shared" si="15"/>
        <v>0</v>
      </c>
      <c r="P39" s="5">
        <f t="shared" si="15"/>
        <v>0</v>
      </c>
      <c r="Q39" s="5">
        <f t="shared" si="15"/>
        <v>0</v>
      </c>
      <c r="R39" s="5">
        <f t="shared" si="15"/>
        <v>0</v>
      </c>
      <c r="S39" s="5">
        <f t="shared" si="15"/>
        <v>0</v>
      </c>
      <c r="T39" s="5">
        <f t="shared" si="15"/>
        <v>0</v>
      </c>
      <c r="U39" s="5">
        <f t="shared" si="15"/>
        <v>0</v>
      </c>
      <c r="V39" s="5">
        <f t="shared" si="15"/>
        <v>0</v>
      </c>
      <c r="W39" s="5">
        <f t="shared" si="15"/>
        <v>0</v>
      </c>
      <c r="X39" s="5">
        <f t="shared" si="15"/>
        <v>0</v>
      </c>
      <c r="Y39" s="5">
        <f t="shared" si="15"/>
        <v>0</v>
      </c>
      <c r="Z39" s="5">
        <f t="shared" si="15"/>
        <v>0</v>
      </c>
      <c r="AA39" s="5">
        <f t="shared" si="15"/>
        <v>0</v>
      </c>
    </row>
    <row r="40">
      <c r="C40" s="44" t="str">
        <f>IF(AND(SUM(D38:AA38)=0, SUM(D39:AA39)=0), "PASS", "FAIL")</f>
        <v>PASS</v>
      </c>
    </row>
  </sheetData>
  <dataValidations>
    <dataValidation type="list" allowBlank="1" showErrorMessage="1" sqref="D34:AA34">
      <formula1>"SOLVENT,CASH DEFICIT"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9.0"/>
    <col customWidth="1" min="6" max="6" width="19.0"/>
  </cols>
  <sheetData>
    <row r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</row>
    <row r="3">
      <c r="A3" s="8" t="s">
        <v>39</v>
      </c>
      <c r="B3" s="3"/>
      <c r="C3" s="9"/>
      <c r="D3" s="9"/>
      <c r="E3" s="9"/>
      <c r="F3" s="3"/>
    </row>
    <row r="4">
      <c r="A4" s="4" t="s">
        <v>40</v>
      </c>
      <c r="B4" s="4" t="s">
        <v>30</v>
      </c>
      <c r="C4" s="10">
        <v>500.0</v>
      </c>
      <c r="D4" s="10">
        <v>1000.0</v>
      </c>
      <c r="E4" s="10">
        <v>1500.0</v>
      </c>
      <c r="F4" s="10">
        <f>IFS('01_Dashboard'!$A$2="Base", D4, '01_Dashboard'!$A$2="Bull", E4, '01_Dashboard'!$A$2="Bear", C4, TRUE, "-")</f>
        <v>1000</v>
      </c>
    </row>
    <row r="5">
      <c r="A5" s="4" t="s">
        <v>41</v>
      </c>
      <c r="B5" s="4" t="s">
        <v>42</v>
      </c>
      <c r="C5" s="10">
        <v>6000.0</v>
      </c>
      <c r="D5" s="10">
        <v>12000.0</v>
      </c>
      <c r="E5" s="10">
        <v>25000.0</v>
      </c>
      <c r="F5" s="10">
        <f>IFS('01_Dashboard'!$A$2="Base", D5, '01_Dashboard'!$A$2="Bull", E5, '01_Dashboard'!$A$2="Bear", C5, TRUE, "-")</f>
        <v>12000</v>
      </c>
    </row>
    <row r="6">
      <c r="A6" s="4" t="s">
        <v>43</v>
      </c>
      <c r="B6" s="4" t="s">
        <v>44</v>
      </c>
      <c r="C6" s="11">
        <v>0.015</v>
      </c>
      <c r="D6" s="11">
        <v>0.025</v>
      </c>
      <c r="E6" s="12">
        <v>0.04</v>
      </c>
      <c r="F6" s="11">
        <f>IFS('01_Dashboard'!$A$2="Base", D6, '01_Dashboard'!$A$2="Bull", E6, '01_Dashboard'!$A$2="Bear", C6, TRUE, "-")</f>
        <v>0.025</v>
      </c>
    </row>
    <row r="7">
      <c r="A7" s="4" t="s">
        <v>47</v>
      </c>
      <c r="B7" s="4" t="s">
        <v>44</v>
      </c>
      <c r="C7" s="12">
        <v>0.92</v>
      </c>
      <c r="D7" s="12">
        <v>0.95</v>
      </c>
      <c r="E7" s="12">
        <v>0.97</v>
      </c>
      <c r="F7" s="12">
        <f>IFS('01_Dashboard'!$A$2="Base", D7, '01_Dashboard'!$A$2="Bull", E7, '01_Dashboard'!$A$2="Bear", C7, TRUE, "-")</f>
        <v>0.95</v>
      </c>
    </row>
    <row r="8">
      <c r="C8" s="13"/>
      <c r="D8" s="13"/>
      <c r="E8" s="13"/>
      <c r="F8" s="13"/>
    </row>
    <row r="9">
      <c r="A9" s="8" t="s">
        <v>48</v>
      </c>
      <c r="B9" s="3"/>
      <c r="C9" s="14"/>
      <c r="D9" s="14"/>
      <c r="E9" s="14"/>
      <c r="F9" s="15"/>
    </row>
    <row r="10">
      <c r="A10" s="4" t="s">
        <v>49</v>
      </c>
      <c r="B10" s="4" t="s">
        <v>50</v>
      </c>
      <c r="C10" s="16">
        <v>40.0</v>
      </c>
      <c r="D10" s="16">
        <v>50.0</v>
      </c>
      <c r="E10" s="16">
        <v>60.0</v>
      </c>
      <c r="F10" s="16">
        <f>IFS('01_Dashboard'!$A$2="Base", D10, '01_Dashboard'!$A$2="Bull", E10, '01_Dashboard'!$A$2="Bear", C10, TRUE, "-")</f>
        <v>50</v>
      </c>
    </row>
    <row r="11">
      <c r="A11" s="4" t="s">
        <v>51</v>
      </c>
      <c r="B11" s="4" t="s">
        <v>52</v>
      </c>
      <c r="C11" s="12">
        <v>0.02</v>
      </c>
      <c r="D11" s="12">
        <v>0.05</v>
      </c>
      <c r="E11" s="12">
        <v>0.1</v>
      </c>
      <c r="F11" s="12">
        <f>IFS('01_Dashboard'!$A$2="Base", D11, '01_Dashboard'!$A$2="Bull", E11, '01_Dashboard'!$A$2="Bear", C11, TRUE, "-")</f>
        <v>0.05</v>
      </c>
    </row>
    <row r="12">
      <c r="A12" s="4" t="s">
        <v>53</v>
      </c>
      <c r="B12" s="4" t="s">
        <v>54</v>
      </c>
      <c r="C12" s="12">
        <v>0.1</v>
      </c>
      <c r="D12" s="12">
        <v>0.05</v>
      </c>
      <c r="E12" s="12">
        <v>0.02</v>
      </c>
      <c r="F12" s="12">
        <f>IFS('01_Dashboard'!$A$2="Base", D12, '01_Dashboard'!$A$2="Bull", E12, '01_Dashboard'!$A$2="Bear", C12, TRUE, "-")</f>
        <v>0.05</v>
      </c>
    </row>
    <row r="13">
      <c r="C13" s="13"/>
      <c r="D13" s="13"/>
      <c r="E13" s="13"/>
      <c r="F13" s="13"/>
    </row>
    <row r="14">
      <c r="A14" s="8" t="s">
        <v>55</v>
      </c>
      <c r="B14" s="3"/>
      <c r="C14" s="14"/>
      <c r="D14" s="14"/>
      <c r="E14" s="14"/>
      <c r="F14" s="15"/>
    </row>
    <row r="15">
      <c r="A15" s="4" t="s">
        <v>56</v>
      </c>
      <c r="B15" s="4" t="s">
        <v>57</v>
      </c>
      <c r="C15" s="17">
        <v>0.038</v>
      </c>
      <c r="D15" s="17">
        <v>0.0295</v>
      </c>
      <c r="E15" s="17">
        <v>0.022</v>
      </c>
      <c r="F15" s="17">
        <f>IFS('01_Dashboard'!$A$2="Base", D15, '01_Dashboard'!$A$2="Bull", E15, '01_Dashboard'!$A$2="Bear", C15, TRUE, "-")</f>
        <v>0.0295</v>
      </c>
    </row>
    <row r="16">
      <c r="A16" s="4" t="s">
        <v>58</v>
      </c>
      <c r="B16" s="4" t="s">
        <v>50</v>
      </c>
      <c r="C16" s="16">
        <v>8.0</v>
      </c>
      <c r="D16" s="16">
        <v>6.0</v>
      </c>
      <c r="E16" s="16">
        <v>4.0</v>
      </c>
      <c r="F16" s="16">
        <f>IFS('01_Dashboard'!$A$2="Base", D16, '01_Dashboard'!$A$2="Bull", E16, '01_Dashboard'!$A$2="Bear", C16, TRUE, "-")</f>
        <v>6</v>
      </c>
    </row>
    <row r="17">
      <c r="A17" s="4" t="s">
        <v>59</v>
      </c>
      <c r="B17" s="4" t="s">
        <v>50</v>
      </c>
      <c r="C17" s="16">
        <v>4.0</v>
      </c>
      <c r="D17" s="16">
        <v>3.0</v>
      </c>
      <c r="E17" s="16">
        <v>2.0</v>
      </c>
      <c r="F17" s="16">
        <f>IFS('01_Dashboard'!$A$2="Base", D17, '01_Dashboard'!$A$2="Bull", E17, '01_Dashboard'!$A$2="Bear", C17, TRUE, "-")</f>
        <v>3</v>
      </c>
    </row>
    <row r="18">
      <c r="C18" s="13"/>
      <c r="D18" s="13"/>
      <c r="E18" s="13"/>
      <c r="F18" s="13"/>
    </row>
    <row r="19">
      <c r="A19" s="8" t="s">
        <v>60</v>
      </c>
      <c r="B19" s="3"/>
      <c r="C19" s="14"/>
      <c r="D19" s="14"/>
      <c r="E19" s="14"/>
      <c r="F19" s="15"/>
    </row>
    <row r="20">
      <c r="A20" s="4" t="s">
        <v>61</v>
      </c>
      <c r="B20" s="4" t="s">
        <v>62</v>
      </c>
      <c r="C20" s="16">
        <v>100000.0</v>
      </c>
      <c r="D20" s="16">
        <v>150000.0</v>
      </c>
      <c r="E20" s="16">
        <v>200000.0</v>
      </c>
      <c r="F20" s="16">
        <f>IFS('01_Dashboard'!$A$2="Base", D20, '01_Dashboard'!$A$2="Bull", E20, '01_Dashboard'!$A$2="Bear", C20, TRUE, "-")</f>
        <v>150000</v>
      </c>
    </row>
    <row r="21">
      <c r="A21" s="4" t="s">
        <v>63</v>
      </c>
      <c r="B21" s="4" t="s">
        <v>64</v>
      </c>
      <c r="C21" s="16">
        <v>20000.0</v>
      </c>
      <c r="D21" s="16">
        <v>25000.0</v>
      </c>
      <c r="E21" s="16">
        <v>30000.0</v>
      </c>
      <c r="F21" s="16">
        <f>IFS('01_Dashboard'!$A$2="Base", D21, '01_Dashboard'!$A$2="Bull", E21, '01_Dashboard'!$A$2="Bear", C21, TRUE, "-")</f>
        <v>25000</v>
      </c>
    </row>
    <row r="22">
      <c r="A22" s="4" t="s">
        <v>67</v>
      </c>
      <c r="B22" s="4" t="s">
        <v>64</v>
      </c>
      <c r="C22" s="16">
        <v>3200.0</v>
      </c>
      <c r="D22" s="16">
        <v>5000.0</v>
      </c>
      <c r="E22" s="16">
        <v>10000.0</v>
      </c>
      <c r="F22" s="16">
        <f>IFS('01_Dashboard'!$A$2="Base", D22, '01_Dashboard'!$A$2="Bull", E22, '01_Dashboard'!$A$2="Bear", C22, TRUE, "-")</f>
        <v>5000</v>
      </c>
    </row>
    <row r="23">
      <c r="A23" s="4" t="s">
        <v>68</v>
      </c>
      <c r="B23" s="4" t="s">
        <v>64</v>
      </c>
      <c r="C23" s="16">
        <v>1500.0</v>
      </c>
      <c r="D23" s="16">
        <v>1800.0</v>
      </c>
      <c r="E23" s="16">
        <v>2000.0</v>
      </c>
      <c r="F23" s="16">
        <f>IFS('01_Dashboard'!$A$2="Base", D23, '01_Dashboard'!$A$2="Bull", E23, '01_Dashboard'!$A$2="Bear", C23, TRUE, "-")</f>
        <v>1800</v>
      </c>
    </row>
    <row r="24">
      <c r="A24" s="4" t="s">
        <v>69</v>
      </c>
      <c r="B24" s="4" t="s">
        <v>64</v>
      </c>
      <c r="C24" s="16">
        <v>3000.0</v>
      </c>
      <c r="D24" s="16">
        <v>3000.0</v>
      </c>
      <c r="E24" s="16">
        <v>3500.0</v>
      </c>
      <c r="F24" s="16">
        <f>IFS('01_Dashboard'!$A$2="Base", D24, '01_Dashboard'!$A$2="Bull", E24, '01_Dashboard'!$A$2="Bear", C24, TRUE, "-")</f>
        <v>3000</v>
      </c>
    </row>
  </sheetData>
  <drawing r:id="rId1"/>
</worksheet>
</file>